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a14aa7ee8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150b74a4049463d"/>
    <x:sheet xmlns:r="http://schemas.openxmlformats.org/officeDocument/2006/relationships" name="Inputs" sheetId="2" r:id="R14920abf2c8d470a"/>
    <x:sheet xmlns:r="http://schemas.openxmlformats.org/officeDocument/2006/relationships" name="Payroll" sheetId="3" r:id="Rcd8db73955d14d02"/>
    <x:sheet xmlns:r="http://schemas.openxmlformats.org/officeDocument/2006/relationships" name="VMP Service Contract" sheetId="4" r:id="Rc252470f194b4a54"/>
    <x:sheet xmlns:r="http://schemas.openxmlformats.org/officeDocument/2006/relationships" name="12-Month Projection" sheetId="5" r:id="R4245277e48d6469d"/>
    <x:sheet xmlns:r="http://schemas.openxmlformats.org/officeDocument/2006/relationships" name="Scenario Comparison" sheetId="6" r:id="R6a77c7aac1994a0b"/>
    <x:sheet xmlns:r="http://schemas.openxmlformats.org/officeDocument/2006/relationships" name="Money Flow Map" sheetId="7" r:id="R4c881d5142594b9a"/>
    <x:sheet xmlns:r="http://schemas.openxmlformats.org/officeDocument/2006/relationships" name="Sources &amp; Review Notes" sheetId="8" r:id="R8bf7a125a3ed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"/>
    <x:numFmt numFmtId="201" formatCode="0.0%"/>
    <x:numFmt numFmtId="202" formatCode="@"/>
    <x:numFmt numFmtId="203" formatCode="$#,##0"/>
    <x:numFmt numFmtId="204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111827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4" borderId="0" xfId="0" applyNumberFormat="1" applyFont="1" applyFill="1" applyBorder="1"/>
    <x:xf numFmtId="200" fontId="3" fillId="5" borderId="0" xfId="0" applyNumberFormat="1" applyFont="1" applyFill="1" applyBorder="1"/>
    <x:xf numFmtId="200" fontId="3" fillId="4" borderId="1" xfId="0" applyNumberFormat="1" applyFont="1" applyFill="1" applyBorder="1"/>
    <x:xf numFmtId="20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202" fontId="3" fillId="5" borderId="0" xfId="0" applyNumberFormat="1" applyFont="1" applyFill="1" applyBorder="1"/>
    <x:xf numFmtId="202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6" borderId="0" xfId="0" applyNumberFormat="1" applyFont="1" applyFill="1" applyBorder="1"/>
    <x:xf numFmtId="200" fontId="4" fillId="6" borderId="0" xfId="0" applyNumberFormat="1" applyFont="1" applyFill="1" applyBorder="1"/>
    <x:xf numFmtId="200" fontId="0" fillId="6" borderId="1" xfId="0" applyNumberFormat="1" applyFont="1" applyFill="1" applyBorder="1"/>
    <x:xf numFmtId="200" fontId="4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201" fontId="8" fillId="5" borderId="0" xfId="0" applyNumberFormat="1" applyFont="1" applyFill="1" applyBorder="1"/>
    <x:xf numFmtId="200" fontId="8" fillId="5" borderId="0" xfId="0" applyNumberFormat="1" applyFont="1" applyFill="1" applyBorder="1"/>
    <x:xf numFmtId="202" fontId="8" fillId="5" borderId="0" xfId="0" applyNumberFormat="1" applyFont="1" applyFill="1" applyBorder="1"/>
    <x:xf numFmtId="0" fontId="9" fillId="0" borderId="0" xfId="0" applyNumberFormat="1" applyFont="1" applyFill="1" applyBorder="1"/>
    <x:xf numFmtId="200" fontId="7" fillId="0" borderId="0" xfId="0" applyNumberFormat="1" applyFont="1" applyFill="1" applyBorder="1"/>
    <x:xf numFmtId="200" fontId="9" fillId="6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/>
    <x:xf numFmtId="200" fontId="8" fillId="4" borderId="1" xfId="0" applyNumberFormat="1" applyFont="1" applyFill="1" applyBorder="1"/>
    <x:xf numFmtId="201" fontId="8" fillId="5" borderId="1" xfId="0" applyNumberFormat="1" applyFont="1" applyFill="1" applyBorder="1"/>
    <x:xf numFmtId="200" fontId="8" fillId="5" borderId="1" xfId="0" applyNumberFormat="1" applyFont="1" applyFill="1" applyBorder="1"/>
    <x:xf numFmtId="202" fontId="8" fillId="5" borderId="1" xfId="0" applyNumberFormat="1" applyFont="1" applyFill="1" applyBorder="1"/>
    <x:xf numFmtId="0" fontId="9" fillId="0" borderId="1" xfId="0" applyNumberFormat="1" applyFont="1" applyFill="1" applyBorder="1"/>
    <x:xf numFmtId="200" fontId="7" fillId="0" borderId="1" xfId="0" applyNumberFormat="1" applyFont="1" applyFill="1" applyBorder="1"/>
    <x:xf numFmtId="200" fontId="9" fillId="6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203" fontId="8" fillId="4" borderId="0" xfId="0" applyNumberFormat="1" applyFont="1" applyFill="1" applyBorder="1"/>
    <x:xf numFmtId="201" fontId="8" fillId="4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/>
    </x:xf>
    <x:xf numFmtId="203" fontId="8" fillId="4" borderId="1" xfId="0" applyNumberFormat="1" applyFont="1" applyFill="1" applyBorder="1"/>
    <x:xf numFmtId="201" fontId="8" fillId="4" borderId="1" xfId="0" applyNumberFormat="1" applyFont="1" applyFill="1" applyBorder="1"/>
    <x:xf numFmtId="204" fontId="8" fillId="4" borderId="0" xfId="0" applyNumberFormat="1" applyFont="1" applyFill="1" applyBorder="1"/>
    <x:xf numFmtId="203" fontId="8" fillId="5" borderId="0" xfId="0" applyNumberFormat="1" applyFont="1" applyFill="1" applyBorder="1"/>
    <x:xf numFmtId="204" fontId="8" fillId="4" borderId="1" xfId="0" applyNumberFormat="1" applyFont="1" applyFill="1" applyBorder="1"/>
    <x:xf numFmtId="203" fontId="8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121ad98d043db" /><Relationship Type="http://schemas.openxmlformats.org/officeDocument/2006/relationships/theme" Target="/xl/theme/theme1.xml" Id="R3597e6ed2bac453c" /><Relationship Type="http://schemas.openxmlformats.org/officeDocument/2006/relationships/sharedStrings" Target="/xl/sharedStrings.xml" Id="R729a055423004194" /><Relationship Type="http://schemas.openxmlformats.org/officeDocument/2006/relationships/worksheet" Target="/xl/worksheets/sheet1.xml" Id="R4150b74a4049463d" /><Relationship Type="http://schemas.openxmlformats.org/officeDocument/2006/relationships/worksheet" Target="/xl/worksheets/sheet2.xml" Id="R14920abf2c8d470a" /><Relationship Type="http://schemas.openxmlformats.org/officeDocument/2006/relationships/worksheet" Target="/xl/worksheets/sheet3.xml" Id="Rcd8db73955d14d02" /><Relationship Type="http://schemas.openxmlformats.org/officeDocument/2006/relationships/worksheet" Target="/xl/worksheets/sheet4.xml" Id="Rc252470f194b4a54" /><Relationship Type="http://schemas.openxmlformats.org/officeDocument/2006/relationships/worksheet" Target="/xl/worksheets/sheet5.xml" Id="R4245277e48d6469d" /><Relationship Type="http://schemas.openxmlformats.org/officeDocument/2006/relationships/worksheet" Target="/xl/worksheets/sheet6.xml" Id="R6a77c7aac1994a0b" /><Relationship Type="http://schemas.openxmlformats.org/officeDocument/2006/relationships/worksheet" Target="/xl/worksheets/sheet7.xml" Id="R4c881d5142594b9a" /><Relationship Type="http://schemas.openxmlformats.org/officeDocument/2006/relationships/worksheet" Target="/xl/worksheets/sheet8.xml" Id="R8bf7a125a3ed4f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03b2b5e06f470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Mission Left</c:v>
          </c:tx>
          <c:cat>
            <c:strRef>
              <c:f>'Scenario Comparison'!$A$4:$A$8</c:f>
              <c:strCache>
                <c:ptCount val="0"/>
              </c:strCache>
            </c:strRef>
          </c:cat>
          <c:val>
            <c:numRef>
              <c:f>'Scenario Comparison'!$G$4:$G$8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03b2b5e06f47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Assumptions" displayName="ScenarioAssumptions" ref="A3:K8" headerRowCount="1">
  <x:tableColumns count="11">
    <x:tableColumn id="1" name="Scenario"/>
    <x:tableColumn id="2" name="Monthly Gross"/>
    <x:tableColumn id="3" name="Distributor %"/>
    <x:tableColumn id="4" name="VMP Contract"/>
    <x:tableColumn id="5" name="Rent"/>
    <x:tableColumn id="6" name="Utilities"/>
    <x:tableColumn id="7" name="Insurance"/>
    <x:tableColumn id="8" name="Security"/>
    <x:tableColumn id="9" name="Cleaning"/>
    <x:tableColumn id="10" name="Accounting/Legal"/>
    <x:tableColumn id="11" name="Other Ops"/>
  </x:tableColumns>
  <x:tableStyleInfo name="TableStyleMedium2" showRowStripes="1"/>
</x:table>
</file>

<file path=xl/tables/table2.xml><?xml version="1.0" encoding="utf-8"?>
<x:table xmlns:x="http://schemas.openxmlformats.org/spreadsheetml/2006/main" id="2" name="CGNExpenses" displayName="CGNExpenses" ref="A12:D26" headerRowCount="1">
  <x:tableColumns count="4">
    <x:tableColumn id="1" name="Line Item"/>
    <x:tableColumn id="2" name="Paid To"/>
    <x:tableColumn id="3" name="Type"/>
    <x:tableColumn id="4" name="Monthly Amount"/>
  </x:tableColumns>
  <x:tableStyleInfo name="TableStyleMedium2" showRowStripes="1"/>
</x:table>
</file>

<file path=xl/tables/table3.xml><?xml version="1.0" encoding="utf-8"?>
<x:table xmlns:x="http://schemas.openxmlformats.org/spreadsheetml/2006/main" id="3" name="PayrollAssumptions" displayName="PayrollAssumptions" ref="A3:H12" headerRowCount="1">
  <x:tableColumns count="8">
    <x:tableColumn id="1" name="Person"/>
    <x:tableColumn id="2" name="Role / Work Paid For"/>
    <x:tableColumn id="3" name="Entity Paying"/>
    <x:tableColumn id="4" name="Pay Method"/>
    <x:tableColumn id="5" name="Hours / Month"/>
    <x:tableColumn id="6" name="Rate or Monthly"/>
    <x:tableColumn id="7" name="Monthly Pay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MPAllocations" displayName="VMPAllocations" ref="D3:H15" headerRowCount="1">
  <x:tableColumns count="5">
    <x:tableColumn id="1" name="Payee / Use"/>
    <x:tableColumn id="2" name="Work Paid For"/>
    <x:tableColumn id="3" name="Pay Method"/>
    <x:tableColumn id="4" name="Monthly Amount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cenarioComparison" displayName="ScenarioComparison" ref="A3:K8" headerRowCount="1">
  <x:tableColumns count="11">
    <x:tableColumn id="1" name="Scenario"/>
    <x:tableColumn id="2" name="Gross"/>
    <x:tableColumn id="3" name="Distributor"/>
    <x:tableColumn id="4" name="Direct Expenses"/>
    <x:tableColumn id="5" name="CGN Payroll"/>
    <x:tableColumn id="6" name="VMP Contract"/>
    <x:tableColumn id="7" name="Mission Left"/>
    <x:tableColumn id="8" name="Mission % Gross"/>
    <x:tableColumn id="9" name="Adj Gross"/>
    <x:tableColumn id="10" name="40% Target"/>
    <x:tableColumn id="11" name="Above/Bel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0b92b7e5354b37" /><Relationship Type="http://schemas.openxmlformats.org/officeDocument/2006/relationships/table" Target="/xl/tables/table2.xml" Id="R76817e044851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366234ef29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f3dca9786f47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6e808a2b5f94b45" /><Relationship Type="http://schemas.openxmlformats.org/officeDocument/2006/relationships/table" Target="/xl/tables/table5.xml" Id="R2cb2457fb8174c4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20" hidden="0" customWidth="1"/>
    <x:col min="5" max="5" width="18" hidden="0" customWidth="1"/>
    <x:col min="3" max="3" width="20" hidden="0" customWidth="1"/>
    <x:col min="6" max="6" width="24" hidden="0" customWidth="1"/>
    <x:col min="7" max="7" width="18" hidden="0" customWidth="1"/>
    <x:col min="8" max="8" width="30" hidden="0" customWidth="1"/>
  </x:cols>
  <x:sheetData>
    <x:row r="1" ht="15" hidden="0" customHeight="1">
      <x:c r="A1" s="64" t="str">
        <x:v>Common Good Network - Interactive Monthly Prediction Model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66" t="str">
        <x:v>Select Scenario</x:v>
      </x:c>
      <x:c r="B3" s="67" t="str">
        <x:v>Base</x:v>
      </x:c>
      <x:c r="C3" s="65"/>
      <x:c r="D3" s="65" t="str">
        <x:v>Planning KPI</x:v>
      </x:c>
      <x:c r="E3" s="65" t="str">
        <x:v>Value</x:v>
      </x:c>
      <x:c r="F3" s="65"/>
      <x:c r="G3" s="65"/>
      <x:c r="H3" s="65"/>
      <x:c r="I3" s="65"/>
      <x:c r="J3" s="65"/>
      <x:c r="K3" s="65"/>
      <x:c r="L3" s="65"/>
      <x:c r="M3" s="65"/>
      <x:c r="N3" s="65"/>
    </x:row>
    <x:row r="4" ht="15" hidden="0" customHeight="1">
      <x:c r="A4" s="66" t="str">
        <x:v>Custom Gross Revenue</x:v>
      </x:c>
      <x:c r="B4" s="68" t="n">
        <x:v>200000</x:v>
      </x:c>
      <x:c r="C4" s="65"/>
      <x:c r="D4" s="65" t="str">
        <x:v>Mission Left % of Gross</x:v>
      </x:c>
      <x:c r="E4" s="69" t="n">
        <x:f>IFERROR(B10/B5,0)</x:f>
        <x:v>0.392</x:v>
      </x:c>
      <x:c r="F4" s="65"/>
      <x:c r="G4" s="65"/>
      <x:c r="H4" s="65"/>
      <x:c r="I4" s="65"/>
      <x:c r="J4" s="65"/>
      <x:c r="K4" s="65"/>
      <x:c r="L4" s="65"/>
      <x:c r="M4" s="65"/>
      <x:c r="N4" s="65"/>
    </x:row>
    <x:row r="5" ht="15" hidden="0" customHeight="1">
      <x:c r="A5" s="66" t="str">
        <x:v>Selected Monthly Gross</x:v>
      </x:c>
      <x:c r="B5" s="70" t="n">
        <x:f>IF(B3="Custom",B4,VLOOKUP(B3,Inputs!$A$4:$K$8,2,FALSE))</x:f>
        <x:v>200000</x:v>
      </x:c>
      <x:c r="C5" s="65"/>
      <x:c r="D5" s="65" t="str">
        <x:v>Estimated Adjusted Gross</x:v>
      </x:c>
      <x:c r="E5" s="70" t="n">
        <x:f>B5*Inputs!$B$30</x:f>
        <x:v>120000</x:v>
      </x:c>
      <x:c r="F5" s="65"/>
      <x:c r="G5" s="65"/>
      <x:c r="H5" s="65"/>
      <x:c r="I5" s="65"/>
      <x:c r="J5" s="65"/>
      <x:c r="K5" s="65"/>
      <x:c r="L5" s="65"/>
      <x:c r="M5" s="65"/>
      <x:c r="N5" s="65"/>
    </x:row>
    <x:row r="6" ht="15" hidden="0" customHeight="1">
      <x:c r="A6" s="66" t="str">
        <x:v>Distributor / Arrow Share</x:v>
      </x:c>
      <x:c r="B6" s="70" t="n">
        <x:f>B5*VLOOKUP(B3,Inputs!$A$4:$K$8,3,FALSE)</x:f>
        <x:v>80000</x:v>
      </x:c>
      <x:c r="C6" s="65"/>
      <x:c r="D6" s="65" t="str">
        <x:v>Estimated Net Receipts</x:v>
      </x:c>
      <x:c r="E6" s="70" t="n">
        <x:f>B10</x:f>
        <x:v>78400</x:v>
      </x:c>
      <x:c r="F6" s="65"/>
      <x:c r="G6" s="65"/>
      <x:c r="H6" s="65"/>
      <x:c r="I6" s="65"/>
      <x:c r="J6" s="65"/>
      <x:c r="K6" s="65"/>
      <x:c r="L6" s="65"/>
      <x:c r="M6" s="65"/>
      <x:c r="N6" s="65"/>
    </x:row>
    <x:row r="7" ht="15" hidden="0" customHeight="1">
      <x:c r="A7" s="66" t="str">
        <x:v>Total CGN Direct Expenses</x:v>
      </x:c>
      <x:c r="B7" s="70" t="n">
        <x:f>SUM(Inputs!$D$13:$D$26)</x:f>
        <x:v>12500</x:v>
      </x:c>
      <x:c r="C7" s="65"/>
      <x:c r="D7" s="65" t="str">
        <x:v>40% Retention Target</x:v>
      </x:c>
      <x:c r="E7" s="70" t="n">
        <x:f>E5*Inputs!$B$31</x:f>
        <x:v>48000</x:v>
      </x:c>
      <x:c r="F7" s="65"/>
      <x:c r="G7" s="65"/>
      <x:c r="H7" s="65"/>
      <x:c r="I7" s="65"/>
      <x:c r="J7" s="65"/>
      <x:c r="K7" s="65"/>
      <x:c r="L7" s="65"/>
      <x:c r="M7" s="65"/>
      <x:c r="N7" s="65"/>
    </x:row>
    <x:row r="8" ht="15" hidden="0" customHeight="1">
      <x:c r="A8" s="66" t="str">
        <x:v>CGN Payroll</x:v>
      </x:c>
      <x:c r="B8" s="70" t="n">
        <x:f>SUM(Payroll!$G$4:$G$12)</x:f>
        <x:v>14100</x:v>
      </x:c>
      <x:c r="C8" s="65"/>
      <x:c r="D8" s="65" t="str">
        <x:v>Above / Below Target</x:v>
      </x:c>
      <x:c r="E8" s="70" t="n">
        <x:f>E6-E7</x:f>
        <x:v>30400</x:v>
      </x:c>
      <x:c r="F8" s="65"/>
      <x:c r="G8" s="65"/>
      <x:c r="H8" s="65"/>
      <x:c r="I8" s="65"/>
      <x:c r="J8" s="65"/>
      <x:c r="K8" s="65"/>
      <x:c r="L8" s="65"/>
      <x:c r="M8" s="65"/>
      <x:c r="N8" s="65"/>
    </x:row>
    <x:row r="9" ht="15" hidden="0" customHeight="1">
      <x:c r="A9" s="66" t="str">
        <x:v>VMP Service Contract</x:v>
      </x:c>
      <x:c r="B9" s="70" t="n">
        <x:f>VLOOKUP(B3,Inputs!$A$4:$K$8,4,FALSE)</x:f>
        <x:v>15000</x:v>
      </x:c>
      <x:c r="C9" s="65"/>
      <x:c r="D9" s="65" t="str">
        <x:v>Retention Check</x:v>
      </x:c>
      <x:c r="E9" s="71" t="str">
        <x:f>IF(E8&gt;=0,"PASS / above target","REVIEW / below target")</x:f>
        <x:v>PASS / above target</x:v>
      </x:c>
      <x:c r="F9" s="65"/>
      <x:c r="G9" s="65"/>
      <x:c r="H9" s="65"/>
      <x:c r="I9" s="65"/>
      <x:c r="J9" s="65"/>
      <x:c r="K9" s="65"/>
      <x:c r="L9" s="65"/>
      <x:c r="M9" s="65"/>
      <x:c r="N9" s="65"/>
    </x:row>
    <x:row r="10" ht="15" hidden="0" customHeight="1">
      <x:c r="A10" s="66" t="str">
        <x:v>Mission / Reserve Left</x:v>
      </x:c>
      <x:c r="B10" s="70" t="n">
        <x:f>B5-B6-B7-B8-B9</x:f>
        <x:v>78400</x:v>
      </x:c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</x:row>
    <x:row r="11" ht="15" hidden="0" customHeight="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 ht="15" hidden="0" customHeight="1">
      <x:c r="A12" s="66" t="str">
        <x:v>Money Flow Snapshot</x:v>
      </x:c>
      <x:c r="B12" s="65" t="str"/>
      <x:c r="C12" s="65" t="str"/>
      <x:c r="D12" s="65" t="str"/>
      <x:c r="E12" s="65" t="str"/>
      <x:c r="F12" s="65" t="str"/>
      <x:c r="G12" s="65" t="str"/>
      <x:c r="H12" s="65" t="str"/>
      <x:c r="I12" s="65"/>
      <x:c r="J12" s="65"/>
      <x:c r="K12" s="65"/>
      <x:c r="L12" s="65"/>
      <x:c r="M12" s="65"/>
      <x:c r="N12" s="65"/>
    </x:row>
    <x:row r="13" ht="15" hidden="0" customHeight="1">
      <x:c r="A13" s="72" t="str">
        <x:v>Monthly Gross Gaming Revenue</x:v>
      </x:c>
      <x:c r="B13" s="65" t="str"/>
      <x:c r="C13" s="65" t="str"/>
      <x:c r="D13" s="65" t="str">
        <x:v>$</x:v>
      </x:c>
      <x:c r="E13" s="73" t="n">
        <x:f>B5</x:f>
        <x:v>200000</x:v>
      </x:c>
      <x:c r="F13" s="65" t="str"/>
      <x:c r="G13" s="65" t="str"/>
      <x:c r="H13" s="65" t="str"/>
      <x:c r="I13" s="65"/>
      <x:c r="J13" s="65"/>
      <x:c r="K13" s="65"/>
      <x:c r="L13" s="65"/>
      <x:c r="M13" s="65"/>
      <x:c r="N13" s="65"/>
    </x:row>
    <x:row r="14" ht="15" hidden="0" customHeight="1">
      <x:c r="A14" s="72" t="str">
        <x:v>Less: Distributor / Arrow Share</x:v>
      </x:c>
      <x:c r="B14" s="65" t="str"/>
      <x:c r="C14" s="65" t="str"/>
      <x:c r="D14" s="65" t="str">
        <x:v>$</x:v>
      </x:c>
      <x:c r="E14" s="73" t="n">
        <x:f>B6</x:f>
        <x:v>80000</x:v>
      </x:c>
      <x:c r="F14" s="65" t="str"/>
      <x:c r="G14" s="65" t="str"/>
      <x:c r="H14" s="65" t="str"/>
      <x:c r="I14" s="65"/>
      <x:c r="J14" s="65"/>
      <x:c r="K14" s="65"/>
      <x:c r="L14" s="65"/>
      <x:c r="M14" s="65"/>
      <x:c r="N14" s="65"/>
    </x:row>
    <x:row r="15" ht="15" hidden="0" customHeight="1">
      <x:c r="A15" s="72" t="str">
        <x:v>Less: Direct CGN Expenses</x:v>
      </x:c>
      <x:c r="B15" s="65" t="str"/>
      <x:c r="C15" s="65" t="str"/>
      <x:c r="D15" s="65" t="str">
        <x:v>$</x:v>
      </x:c>
      <x:c r="E15" s="73" t="n">
        <x:f>B7</x:f>
        <x:v>12500</x:v>
      </x:c>
      <x:c r="F15" s="65" t="str"/>
      <x:c r="G15" s="65" t="str"/>
      <x:c r="H15" s="65" t="str"/>
      <x:c r="I15" s="65"/>
      <x:c r="J15" s="65"/>
      <x:c r="K15" s="65"/>
      <x:c r="L15" s="65"/>
      <x:c r="M15" s="65"/>
      <x:c r="N15" s="65"/>
    </x:row>
    <x:row r="16" ht="15" hidden="0" customHeight="1">
      <x:c r="A16" s="72" t="str">
        <x:v>Less: CGN Payroll</x:v>
      </x:c>
      <x:c r="B16" s="65" t="str"/>
      <x:c r="C16" s="65" t="str"/>
      <x:c r="D16" s="65" t="str">
        <x:v>$</x:v>
      </x:c>
      <x:c r="E16" s="73" t="n">
        <x:f>B8</x:f>
        <x:v>14100</x:v>
      </x:c>
      <x:c r="F16" s="65" t="str"/>
      <x:c r="G16" s="65" t="str"/>
      <x:c r="H16" s="65" t="str"/>
      <x:c r="I16" s="65"/>
      <x:c r="J16" s="65"/>
      <x:c r="K16" s="65"/>
      <x:c r="L16" s="65"/>
      <x:c r="M16" s="65"/>
      <x:c r="N16" s="65"/>
    </x:row>
    <x:row r="17" ht="15" hidden="0" customHeight="1">
      <x:c r="A17" s="72" t="str">
        <x:v>Less: VMP Service Contract</x:v>
      </x:c>
      <x:c r="B17" s="65" t="str"/>
      <x:c r="C17" s="65" t="str"/>
      <x:c r="D17" s="65" t="str">
        <x:v>$</x:v>
      </x:c>
      <x:c r="E17" s="73" t="n">
        <x:f>B9</x:f>
        <x:v>15000</x:v>
      </x:c>
      <x:c r="F17" s="65" t="str"/>
      <x:c r="G17" s="65" t="str"/>
      <x:c r="H17" s="65" t="str"/>
      <x:c r="I17" s="65"/>
      <x:c r="J17" s="65"/>
      <x:c r="K17" s="65"/>
      <x:c r="L17" s="65"/>
      <x:c r="M17" s="65"/>
      <x:c r="N17" s="65"/>
    </x:row>
    <x:row r="18" ht="15" hidden="0" customHeight="1">
      <x:c r="A18" s="72" t="str">
        <x:v>Remaining for Mission / Reserve / Growth</x:v>
      </x:c>
      <x:c r="B18" s="65" t="str"/>
      <x:c r="C18" s="65" t="str"/>
      <x:c r="D18" s="65" t="str">
        <x:v>$</x:v>
      </x:c>
      <x:c r="E18" s="74" t="n">
        <x:f>B10</x:f>
        <x:v>78400</x:v>
      </x:c>
      <x:c r="F18" s="65" t="str"/>
      <x:c r="G18" s="65" t="str"/>
      <x:c r="H18" s="65" t="str"/>
      <x:c r="I18" s="65"/>
      <x:c r="J18" s="65"/>
      <x:c r="K18" s="65"/>
      <x:c r="L18" s="65"/>
      <x:c r="M18" s="65"/>
      <x:c r="N18" s="65"/>
    </x:row>
    <x:row r="19" ht="15" hidden="0" customHeight="1">
      <x:c r="A19" s="65" t="str"/>
      <x:c r="B19" s="65" t="str"/>
      <x:c r="C19" s="65" t="str"/>
      <x:c r="D19" s="65" t="str"/>
      <x:c r="E19" s="65" t="str"/>
      <x:c r="F19" s="65" t="str"/>
      <x:c r="G19" s="65" t="str"/>
      <x:c r="H19" s="65" t="str"/>
      <x:c r="I19" s="65"/>
      <x:c r="J19" s="65"/>
      <x:c r="K19" s="65"/>
      <x:c r="L19" s="65"/>
      <x:c r="M19" s="65"/>
      <x:c r="N19" s="65"/>
    </x:row>
    <x:row r="20" ht="15" hidden="0" customHeight="1">
      <x:c r="A20" s="65" t="str">
        <x:v>Notes</x:v>
      </x:c>
      <x:c r="B20" s="65" t="str">
        <x:v>Yellow cells are editable assumptions. Blue cells calculate automatically.</x:v>
      </x:c>
      <x:c r="C20" s="65" t="str"/>
      <x:c r="D20" s="65" t="str"/>
      <x:c r="E20" s="65" t="str"/>
      <x:c r="F20" s="65" t="str"/>
      <x:c r="G20" s="65" t="str"/>
      <x:c r="H20" s="65" t="str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H1"/>
    <x:mergeCell ref="A12:H12"/>
  </x:mergeCells>
  <x:dataValidations count="1">
    <x:dataValidation type="list" sqref="B3">
      <x:formula1>"Low,Base,High,Best,Custom"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6.5" hidden="0" customWidth="1"/>
    <x:col min="10" max="10" width="12.630000114440918" hidden="0" customWidth="1"/>
    <x:col min="11" max="11" width="7.630000114440918" hidden="0" customWidth="1"/>
  </x:cols>
  <x:sheetData>
    <x:row r="1" ht="15" hidden="0" customHeight="1">
      <x:c r="A1" s="64" t="str">
        <x:v>Scenario Assumptions - edit yellow cells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Scenario</x:v>
      </x:c>
      <x:c r="B3" s="86" t="str">
        <x:v>Monthly Gross</x:v>
      </x:c>
      <x:c r="C3" s="86" t="str">
        <x:v>Distributor %</x:v>
      </x:c>
      <x:c r="D3" s="86" t="str">
        <x:v>VMP Contract</x:v>
      </x:c>
      <x:c r="E3" s="86" t="str">
        <x:v>Rent</x:v>
      </x:c>
      <x:c r="F3" s="86" t="str">
        <x:v>Utilities</x:v>
      </x:c>
      <x:c r="G3" s="86" t="str">
        <x:v>Insurance</x:v>
      </x:c>
      <x:c r="H3" s="86" t="str">
        <x:v>Security</x:v>
      </x:c>
      <x:c r="I3" s="86" t="str">
        <x:v>Cleaning</x:v>
      </x:c>
      <x:c r="J3" s="86" t="str">
        <x:v>Accounting/Legal</x:v>
      </x:c>
      <x:c r="K3" s="86" t="str">
        <x:v>Other Ops</x:v>
      </x:c>
      <x:c r="L3" s="65"/>
      <x:c r="M3" s="65"/>
      <x:c r="N3" s="65"/>
    </x:row>
    <x:row r="4" ht="15" hidden="0" customHeight="1">
      <x:c r="A4" s="65" t="str">
        <x:v>Low</x:v>
      </x:c>
      <x:c r="B4" s="87" t="n">
        <x:v>150000</x:v>
      </x:c>
      <x:c r="C4" s="88" t="n">
        <x:v>0.4</x:v>
      </x:c>
      <x:c r="D4" s="87" t="n">
        <x:v>10000</x:v>
      </x:c>
      <x:c r="E4" s="87" t="n">
        <x:v>2500</x:v>
      </x:c>
      <x:c r="F4" s="87" t="n">
        <x:v>1500</x:v>
      </x:c>
      <x:c r="G4" s="87" t="n">
        <x:v>750</x:v>
      </x:c>
      <x:c r="H4" s="87" t="n">
        <x:v>800</x:v>
      </x:c>
      <x:c r="I4" s="87" t="n">
        <x:v>800</x:v>
      </x:c>
      <x:c r="J4" s="87" t="n">
        <x:v>1500</x:v>
      </x:c>
      <x:c r="K4" s="87" t="n">
        <x:v>1500</x:v>
      </x:c>
      <x:c r="L4" s="65"/>
      <x:c r="M4" s="65"/>
      <x:c r="N4" s="65"/>
    </x:row>
    <x:row r="5" ht="15" hidden="0" customHeight="1">
      <x:c r="A5" s="65" t="str">
        <x:v>Base</x:v>
      </x:c>
      <x:c r="B5" s="87" t="n">
        <x:v>200000</x:v>
      </x:c>
      <x:c r="C5" s="88" t="n">
        <x:v>0.4</x:v>
      </x:c>
      <x:c r="D5" s="87" t="n">
        <x:v>15000</x:v>
      </x:c>
      <x:c r="E5" s="87" t="n">
        <x:v>2500</x:v>
      </x:c>
      <x:c r="F5" s="87" t="n">
        <x:v>1500</x:v>
      </x:c>
      <x:c r="G5" s="87" t="n">
        <x:v>750</x:v>
      </x:c>
      <x:c r="H5" s="87" t="n">
        <x:v>1000</x:v>
      </x:c>
      <x:c r="I5" s="87" t="n">
        <x:v>800</x:v>
      </x:c>
      <x:c r="J5" s="87" t="n">
        <x:v>1500</x:v>
      </x:c>
      <x:c r="K5" s="87" t="n">
        <x:v>1500</x:v>
      </x:c>
      <x:c r="L5" s="65"/>
      <x:c r="M5" s="65"/>
      <x:c r="N5" s="65"/>
    </x:row>
    <x:row r="6" ht="15" hidden="0" customHeight="1">
      <x:c r="A6" s="65" t="str">
        <x:v>High</x:v>
      </x:c>
      <x:c r="B6" s="87" t="n">
        <x:v>250000</x:v>
      </x:c>
      <x:c r="C6" s="88" t="n">
        <x:v>0.4</x:v>
      </x:c>
      <x:c r="D6" s="87" t="n">
        <x:v>22000</x:v>
      </x:c>
      <x:c r="E6" s="87" t="n">
        <x:v>2500</x:v>
      </x:c>
      <x:c r="F6" s="87" t="n">
        <x:v>1800</x:v>
      </x:c>
      <x:c r="G6" s="87" t="n">
        <x:v>900</x:v>
      </x:c>
      <x:c r="H6" s="87" t="n">
        <x:v>1200</x:v>
      </x:c>
      <x:c r="I6" s="87" t="n">
        <x:v>1000</x:v>
      </x:c>
      <x:c r="J6" s="87" t="n">
        <x:v>2000</x:v>
      </x:c>
      <x:c r="K6" s="87" t="n">
        <x:v>2000</x:v>
      </x:c>
      <x:c r="L6" s="65"/>
      <x:c r="M6" s="65"/>
      <x:c r="N6" s="65"/>
    </x:row>
    <x:row r="7" ht="15" hidden="0" customHeight="1">
      <x:c r="A7" s="65" t="str">
        <x:v>Best</x:v>
      </x:c>
      <x:c r="B7" s="87" t="n">
        <x:v>300000</x:v>
      </x:c>
      <x:c r="C7" s="88" t="n">
        <x:v>0.4</x:v>
      </x:c>
      <x:c r="D7" s="87" t="n">
        <x:v>30000</x:v>
      </x:c>
      <x:c r="E7" s="87" t="n">
        <x:v>2500</x:v>
      </x:c>
      <x:c r="F7" s="87" t="n">
        <x:v>2000</x:v>
      </x:c>
      <x:c r="G7" s="87" t="n">
        <x:v>1000</x:v>
      </x:c>
      <x:c r="H7" s="87" t="n">
        <x:v>1500</x:v>
      </x:c>
      <x:c r="I7" s="87" t="n">
        <x:v>1200</x:v>
      </x:c>
      <x:c r="J7" s="87" t="n">
        <x:v>2500</x:v>
      </x:c>
      <x:c r="K7" s="87" t="n">
        <x:v>2500</x:v>
      </x:c>
      <x:c r="L7" s="65"/>
      <x:c r="M7" s="65"/>
      <x:c r="N7" s="65"/>
    </x:row>
    <x:row r="8" ht="15" hidden="0" customHeight="1">
      <x:c r="A8" s="65" t="str">
        <x:v>Custom</x:v>
      </x:c>
      <x:c r="B8" s="87" t="n">
        <x:v>200000</x:v>
      </x:c>
      <x:c r="C8" s="88" t="n">
        <x:v>0.4</x:v>
      </x:c>
      <x:c r="D8" s="87" t="n">
        <x:v>15000</x:v>
      </x:c>
      <x:c r="E8" s="87" t="n">
        <x:v>2500</x:v>
      </x:c>
      <x:c r="F8" s="87" t="n">
        <x:v>1500</x:v>
      </x:c>
      <x:c r="G8" s="87" t="n">
        <x:v>750</x:v>
      </x:c>
      <x:c r="H8" s="87" t="n">
        <x:v>1000</x:v>
      </x:c>
      <x:c r="I8" s="87" t="n">
        <x:v>800</x:v>
      </x:c>
      <x:c r="J8" s="87" t="n">
        <x:v>1500</x:v>
      </x:c>
      <x:c r="K8" s="87" t="n">
        <x:v>1500</x:v>
      </x:c>
      <x:c r="L8" s="65"/>
      <x:c r="M8" s="65"/>
      <x:c r="N8" s="65"/>
    </x:row>
    <x:row r="9" ht="15" hidden="0" customHeight="1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</x:row>
    <x:row r="10" ht="15" hidden="0" customHeight="1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</x:row>
    <x:row r="11" ht="15" hidden="0" customHeight="1">
      <x:c r="A11" s="66" t="str">
        <x:v>CGN Direct Operating Expense Detail</x:v>
      </x:c>
      <x:c r="B11" s="65" t="str"/>
      <x:c r="C11" s="65" t="str"/>
      <x:c r="D11" s="65" t="str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 ht="15" hidden="0" customHeight="1">
      <x:c r="A12" s="86" t="str">
        <x:v>Line Item</x:v>
      </x:c>
      <x:c r="B12" s="86" t="str">
        <x:v>Paid To</x:v>
      </x:c>
      <x:c r="C12" s="86" t="str">
        <x:v>Type</x:v>
      </x:c>
      <x:c r="D12" s="86" t="str">
        <x:v>Monthly Amount</x:v>
      </x:c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</x:row>
    <x:row r="13" ht="15" hidden="0" customHeight="1">
      <x:c r="A13" s="65" t="str">
        <x:v>Rent</x:v>
      </x:c>
      <x:c r="B13" s="65" t="str">
        <x:v>Landlord</x:v>
      </x:c>
      <x:c r="C13" s="65" t="str">
        <x:v>Facility</x:v>
      </x:c>
      <x:c r="D13" s="70" t="n">
        <x:f>VLOOKUP(Dashboard!$B$3,$A$4:$K$8,5,FALSE)</x:f>
        <x:v>2500</x:v>
      </x:c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</x:row>
    <x:row r="14" ht="15" hidden="0" customHeight="1">
      <x:c r="A14" s="65" t="str">
        <x:v>Utilities</x:v>
      </x:c>
      <x:c r="B14" s="65" t="str">
        <x:v>Utility Companies</x:v>
      </x:c>
      <x:c r="C14" s="65" t="str">
        <x:v>Facility</x:v>
      </x:c>
      <x:c r="D14" s="70" t="n">
        <x:f>VLOOKUP(Dashboard!$B$3,$A$4:$K$8,6,FALSE)</x:f>
        <x:v>1500</x:v>
      </x:c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65" t="str">
        <x:v>Insurance</x:v>
      </x:c>
      <x:c r="B15" s="65" t="str">
        <x:v>Carrier</x:v>
      </x:c>
      <x:c r="C15" s="65" t="str">
        <x:v>Risk</x:v>
      </x:c>
      <x:c r="D15" s="70" t="n">
        <x:f>VLOOKUP(Dashboard!$B$3,$A$4:$K$8,7,FALSE)</x:f>
        <x:v>750</x:v>
      </x:c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65" t="str">
        <x:v>Security</x:v>
      </x:c>
      <x:c r="B16" s="65" t="str">
        <x:v>Security vendor / staff</x:v>
      </x:c>
      <x:c r="C16" s="65" t="str">
        <x:v>Safety</x:v>
      </x:c>
      <x:c r="D16" s="70" t="n">
        <x:f>VLOOKUP(Dashboard!$B$3,$A$4:$K$8,8,FALSE)</x:f>
        <x:v>1000</x:v>
      </x:c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 t="str">
        <x:v>Cleaning</x:v>
      </x:c>
      <x:c r="B17" s="65" t="str">
        <x:v>Contractor / VMP</x:v>
      </x:c>
      <x:c r="C17" s="65" t="str">
        <x:v>Facility</x:v>
      </x:c>
      <x:c r="D17" s="70" t="n">
        <x:f>VLOOKUP(Dashboard!$B$3,$A$4:$K$8,9,FALSE)</x:f>
        <x:v>800</x:v>
      </x:c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 t="str">
        <x:v>Accounting / Legal</x:v>
      </x:c>
      <x:c r="B18" s="65" t="str">
        <x:v>CPA / Attorney</x:v>
      </x:c>
      <x:c r="C18" s="65" t="str">
        <x:v>Professional</x:v>
      </x:c>
      <x:c r="D18" s="70" t="n">
        <x:f>VLOOKUP(Dashboard!$B$3,$A$4:$K$8,10,FALSE)</x:f>
        <x:v>1500</x:v>
      </x:c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 t="str">
        <x:v>Other Operations</x:v>
      </x:c>
      <x:c r="B19" s="65" t="str">
        <x:v>Vendors</x:v>
      </x:c>
      <x:c r="C19" s="65" t="str">
        <x:v>Operating</x:v>
      </x:c>
      <x:c r="D19" s="70" t="n">
        <x:f>VLOOKUP(Dashboard!$B$3,$A$4:$K$8,11,FALSE)</x:f>
        <x:v>1500</x:v>
      </x:c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 t="str">
        <x:v>Banking / Merchant</x:v>
      </x:c>
      <x:c r="B20" s="65" t="str">
        <x:v>Bank</x:v>
      </x:c>
      <x:c r="C20" s="65" t="str">
        <x:v>Admin</x:v>
      </x:c>
      <x:c r="D20" s="70" t="n">
        <x:v>300</x:v>
      </x:c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 t="str">
        <x:v>Internet / Phones</x:v>
      </x:c>
      <x:c r="B21" s="65" t="str">
        <x:v>Provider</x:v>
      </x:c>
      <x:c r="C21" s="65" t="str">
        <x:v>Technology</x:v>
      </x:c>
      <x:c r="D21" s="70" t="n">
        <x:v>400</x:v>
      </x:c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 t="str">
        <x:v>Office / Supplies</x:v>
      </x:c>
      <x:c r="B22" s="65" t="str">
        <x:v>Vendors</x:v>
      </x:c>
      <x:c r="C22" s="65" t="str">
        <x:v>Admin</x:v>
      </x:c>
      <x:c r="D22" s="70" t="n">
        <x:v>500</x:v>
      </x:c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 t="str">
        <x:v>Maintenance Buffer</x:v>
      </x:c>
      <x:c r="B23" s="65" t="str">
        <x:v>Vendor / Reserve</x:v>
      </x:c>
      <x:c r="C23" s="65" t="str">
        <x:v>Facility</x:v>
      </x:c>
      <x:c r="D23" s="70" t="n">
        <x:v>500</x:v>
      </x:c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 t="str">
        <x:v>Regulatory / Filing Buffer</x:v>
      </x:c>
      <x:c r="B24" s="65" t="str">
        <x:v>KY / professional</x:v>
      </x:c>
      <x:c r="C24" s="65" t="str">
        <x:v>Compliance</x:v>
      </x:c>
      <x:c r="D24" s="70" t="n">
        <x:v>250</x:v>
      </x:c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 t="str">
        <x:v>Program Reserve Transfer</x:v>
      </x:c>
      <x:c r="B25" s="65" t="str">
        <x:v>CGN mission</x:v>
      </x:c>
      <x:c r="C25" s="65" t="str">
        <x:v>Mission</x:v>
      </x:c>
      <x:c r="D25" s="70" t="n">
        <x:v>0</x:v>
      </x:c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 t="str">
        <x:v>Contingency</x:v>
      </x:c>
      <x:c r="B26" s="65" t="str">
        <x:v>Reserve</x:v>
      </x:c>
      <x:c r="C26" s="65" t="str">
        <x:v>Reserve</x:v>
      </x:c>
      <x:c r="D26" s="70" t="n">
        <x:v>1000</x:v>
      </x:c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6" t="str">
        <x:v>Retention / Compliance Planning Inputs</x:v>
      </x:c>
      <x:c r="B29" s="65" t="str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 t="str">
        <x:v>Estimated Adjusted Gross % of Gross</x:v>
      </x:c>
      <x:c r="B30" s="88" t="n">
        <x:v>0.6</x:v>
      </x:c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 t="str">
        <x:v>Retention Target %</x:v>
      </x:c>
      <x:c r="B31" s="88" t="n">
        <x:v>0.4</x:v>
      </x:c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 t="str">
        <x:v>Minimum Cash Reserve Target</x:v>
      </x:c>
      <x:c r="B32" s="87" t="n">
        <x:v>20000</x:v>
      </x:c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 t="str">
        <x:v>Notes</x:v>
      </x:c>
      <x:c r="B33" s="65" t="str">
        <x:v>These are planning inputs only. Attorney/CPA should confirm actual statutory calculations.</x:v>
      </x:c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K1"/>
    <x:mergeCell ref="A11:D11"/>
    <x:mergeCell ref="A29:B29"/>
  </x:mergeCells>
  <x:pageMargins left="0.7" right="0.7" top="0.75" bottom="0.75" header="0.3" footer="0.3"/>
  <x:tableParts count="2">
    <x:tablePart xmlns:r="http://schemas.openxmlformats.org/officeDocument/2006/relationships" r:id="R370b92b7e5354b37"/>
    <x:tablePart xmlns:r="http://schemas.openxmlformats.org/officeDocument/2006/relationships" r:id="R76817e04485147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</x:cols>
  <x:sheetData>
    <x:row r="1" ht="15" hidden="0" customHeight="1">
      <x:c r="A1" s="64" t="str">
        <x:v>People, Pay Route, and Monthly Compensation Assumptions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Person</x:v>
      </x:c>
      <x:c r="B3" s="86" t="str">
        <x:v>Role / Work Paid For</x:v>
      </x:c>
      <x:c r="C3" s="86" t="str">
        <x:v>Entity Paying</x:v>
      </x:c>
      <x:c r="D3" s="86" t="str">
        <x:v>Pay Method</x:v>
      </x:c>
      <x:c r="E3" s="86" t="str">
        <x:v>Hours / Month</x:v>
      </x:c>
      <x:c r="F3" s="86" t="str">
        <x:v>Rate or Monthly</x:v>
      </x:c>
      <x:c r="G3" s="86" t="str">
        <x:v>Monthly Pay</x:v>
      </x:c>
      <x:c r="H3" s="86" t="str">
        <x:v>Notes</x:v>
      </x:c>
      <x:c r="I3" s="65"/>
      <x:c r="J3" s="65"/>
      <x:c r="K3" s="65"/>
      <x:c r="L3" s="65"/>
      <x:c r="M3" s="65"/>
      <x:c r="N3" s="65"/>
    </x:row>
    <x:row r="4" ht="15" hidden="0" customHeight="1">
      <x:c r="A4" s="65" t="str">
        <x:v>Lauren</x:v>
      </x:c>
      <x:c r="B4" s="65" t="str">
        <x:v>Executive/admin work; business development; compliance admin</x:v>
      </x:c>
      <x:c r="C4" s="65" t="str">
        <x:v>CGN</x:v>
      </x:c>
      <x:c r="D4" s="65" t="str">
        <x:v>W-2 or 1099</x:v>
      </x:c>
      <x:c r="E4" s="92" t="n">
        <x:v>120</x:v>
      </x:c>
      <x:c r="F4" s="87" t="n">
        <x:v>35</x:v>
      </x:c>
      <x:c r="G4" s="93" t="n">
        <x:f>E4*F4</x:f>
        <x:v>4200</x:v>
      </x:c>
      <x:c r="H4" s="65" t="str">
        <x:v>Chairperson duties separated for review</x:v>
      </x:c>
      <x:c r="I4" s="65"/>
      <x:c r="J4" s="65"/>
      <x:c r="K4" s="65"/>
      <x:c r="L4" s="65"/>
      <x:c r="M4" s="65"/>
      <x:c r="N4" s="65"/>
    </x:row>
    <x:row r="5" ht="15" hidden="0" customHeight="1">
      <x:c r="A5" s="65" t="str">
        <x:v>Matthew</x:v>
      </x:c>
      <x:c r="B5" s="65" t="str">
        <x:v>Operations leadership; facility/vendor coordination</x:v>
      </x:c>
      <x:c r="C5" s="65" t="str">
        <x:v>CGN</x:v>
      </x:c>
      <x:c r="D5" s="65" t="str">
        <x:v>W-2 or 1099</x:v>
      </x:c>
      <x:c r="E5" s="92" t="n">
        <x:v>120</x:v>
      </x:c>
      <x:c r="F5" s="87" t="n">
        <x:v>30</x:v>
      </x:c>
      <x:c r="G5" s="93" t="n">
        <x:f>E5*F5</x:f>
        <x:v>3600</x:v>
      </x:c>
      <x:c r="H5" s="65" t="str">
        <x:v>Chairperson duties separated for review</x:v>
      </x:c>
      <x:c r="I5" s="65"/>
      <x:c r="J5" s="65"/>
      <x:c r="K5" s="65"/>
      <x:c r="L5" s="65"/>
      <x:c r="M5" s="65"/>
      <x:c r="N5" s="65"/>
    </x:row>
    <x:row r="6" ht="15" hidden="0" customHeight="1">
      <x:c r="A6" s="65" t="str">
        <x:v>Linda</x:v>
      </x:c>
      <x:c r="B6" s="65" t="str">
        <x:v>Store operations manager; scheduling; customer experience</x:v>
      </x:c>
      <x:c r="C6" s="65" t="str">
        <x:v>CGN</x:v>
      </x:c>
      <x:c r="D6" s="65" t="str">
        <x:v>W-2 or 1099</x:v>
      </x:c>
      <x:c r="E6" s="92" t="n">
        <x:v>120</x:v>
      </x:c>
      <x:c r="F6" s="87" t="n">
        <x:v>25</x:v>
      </x:c>
      <x:c r="G6" s="93" t="n">
        <x:f>E6*F6</x:f>
        <x:v>3000</x:v>
      </x:c>
      <x:c r="H6" s="65" t="str">
        <x:v>Chairperson duties separated for review</x:v>
      </x:c>
      <x:c r="I6" s="65"/>
      <x:c r="J6" s="65"/>
      <x:c r="K6" s="65"/>
      <x:c r="L6" s="65"/>
      <x:c r="M6" s="65"/>
      <x:c r="N6" s="65"/>
    </x:row>
    <x:row r="7" ht="15" hidden="0" customHeight="1">
      <x:c r="A7" s="65" t="str">
        <x:v>Colin</x:v>
      </x:c>
      <x:c r="B7" s="65" t="str">
        <x:v>Attendant; customer service; cleaning; stocking</x:v>
      </x:c>
      <x:c r="C7" s="65" t="str">
        <x:v>CGN</x:v>
      </x:c>
      <x:c r="D7" s="65" t="str">
        <x:v>W-2</x:v>
      </x:c>
      <x:c r="E7" s="92" t="n">
        <x:v>100</x:v>
      </x:c>
      <x:c r="F7" s="87" t="n">
        <x:v>15</x:v>
      </x:c>
      <x:c r="G7" s="93" t="n">
        <x:f>E7*F7</x:f>
        <x:v>1500</x:v>
      </x:c>
      <x:c r="H7" s="65" t="str">
        <x:v>Age 19</x:v>
      </x:c>
      <x:c r="I7" s="65"/>
      <x:c r="J7" s="65"/>
      <x:c r="K7" s="65"/>
      <x:c r="L7" s="65"/>
      <x:c r="M7" s="65"/>
      <x:c r="N7" s="65"/>
    </x:row>
    <x:row r="8" ht="15" hidden="0" customHeight="1">
      <x:c r="A8" s="65" t="str">
        <x:v>Maggie</x:v>
      </x:c>
      <x:c r="B8" s="65" t="str">
        <x:v>Attendant; front desk/customer support</x:v>
      </x:c>
      <x:c r="C8" s="65" t="str">
        <x:v>CGN</x:v>
      </x:c>
      <x:c r="D8" s="65" t="str">
        <x:v>W-2</x:v>
      </x:c>
      <x:c r="E8" s="92" t="n">
        <x:v>60</x:v>
      </x:c>
      <x:c r="F8" s="87" t="n">
        <x:v>15</x:v>
      </x:c>
      <x:c r="G8" s="93" t="n">
        <x:f>E8*F8</x:f>
        <x:v>900</x:v>
      </x:c>
      <x:c r="H8" s="65" t="str">
        <x:v>Hours adjustable</x:v>
      </x:c>
      <x:c r="I8" s="65"/>
      <x:c r="J8" s="65"/>
      <x:c r="K8" s="65"/>
      <x:c r="L8" s="65"/>
      <x:c r="M8" s="65"/>
      <x:c r="N8" s="65"/>
    </x:row>
    <x:row r="9" ht="15" hidden="0" customHeight="1">
      <x:c r="A9" s="65" t="str">
        <x:v>Eli Hill</x:v>
      </x:c>
      <x:c r="B9" s="65" t="str">
        <x:v>Attendant; floor support; weekends</x:v>
      </x:c>
      <x:c r="C9" s="65" t="str">
        <x:v>CGN</x:v>
      </x:c>
      <x:c r="D9" s="65" t="str">
        <x:v>W-2</x:v>
      </x:c>
      <x:c r="E9" s="92" t="n">
        <x:v>60</x:v>
      </x:c>
      <x:c r="F9" s="87" t="n">
        <x:v>15</x:v>
      </x:c>
      <x:c r="G9" s="93" t="n">
        <x:f>E9*F9</x:f>
        <x:v>900</x:v>
      </x:c>
      <x:c r="H9" s="65" t="str">
        <x:v>College-age support</x:v>
      </x:c>
      <x:c r="I9" s="65"/>
      <x:c r="J9" s="65"/>
      <x:c r="K9" s="65"/>
      <x:c r="L9" s="65"/>
      <x:c r="M9" s="65"/>
      <x:c r="N9" s="65"/>
    </x:row>
    <x:row r="10" ht="15" hidden="0" customHeight="1">
      <x:c r="A10" s="65" t="str">
        <x:v>Bobby</x:v>
      </x:c>
      <x:c r="B10" s="65" t="str">
        <x:v>Future chairperson / operations support</x:v>
      </x:c>
      <x:c r="C10" s="65" t="str">
        <x:v>CGN</x:v>
      </x:c>
      <x:c r="D10" s="65" t="str">
        <x:v>TBD</x:v>
      </x:c>
      <x:c r="E10" s="92" t="n">
        <x:v>0</x:v>
      </x:c>
      <x:c r="F10" s="87" t="n">
        <x:v>0</x:v>
      </x:c>
      <x:c r="G10" s="93" t="n">
        <x:f>E10*F10</x:f>
        <x:v>0</x:v>
      </x:c>
      <x:c r="H10" s="65" t="str">
        <x:v>Future</x:v>
      </x:c>
      <x:c r="I10" s="65"/>
      <x:c r="J10" s="65"/>
      <x:c r="K10" s="65"/>
      <x:c r="L10" s="65"/>
      <x:c r="M10" s="65"/>
      <x:c r="N10" s="65"/>
    </x:row>
    <x:row r="11" ht="15" hidden="0" customHeight="1">
      <x:c r="A11" s="65" t="str">
        <x:v>Harry</x:v>
      </x:c>
      <x:c r="B11" s="65" t="str">
        <x:v>Startup funding partner/advisor</x:v>
      </x:c>
      <x:c r="C11" s="65" t="str">
        <x:v>None initially</x:v>
      </x:c>
      <x:c r="D11" s="65" t="str">
        <x:v>None</x:v>
      </x:c>
      <x:c r="E11" s="92" t="n">
        <x:v>0</x:v>
      </x:c>
      <x:c r="F11" s="87" t="n">
        <x:v>0</x:v>
      </x:c>
      <x:c r="G11" s="93" t="n">
        <x:f>E11*F11</x:f>
        <x:v>0</x:v>
      </x:c>
      <x:c r="H11" s="65" t="str">
        <x:v>Loan/consulting terms separate if used</x:v>
      </x:c>
      <x:c r="I11" s="65"/>
      <x:c r="J11" s="65"/>
      <x:c r="K11" s="65"/>
      <x:c r="L11" s="65"/>
      <x:c r="M11" s="65"/>
      <x:c r="N11" s="65"/>
    </x:row>
    <x:row r="12" ht="15" hidden="0" customHeight="1">
      <x:c r="A12" s="65" t="str">
        <x:v>Eli Morgan</x:v>
      </x:c>
      <x:c r="B12" s="65" t="str">
        <x:v>Family support, not gaming operations</x:v>
      </x:c>
      <x:c r="C12" s="65" t="str">
        <x:v>Household / family</x:v>
      </x:c>
      <x:c r="D12" s="65" t="str">
        <x:v>TBD</x:v>
      </x:c>
      <x:c r="E12" s="92" t="n">
        <x:v>0</x:v>
      </x:c>
      <x:c r="F12" s="87" t="n">
        <x:v>0</x:v>
      </x:c>
      <x:c r="G12" s="93" t="n">
        <x:f>E12*F12</x:f>
        <x:v>0</x:v>
      </x:c>
      <x:c r="H12" s="65" t="str">
        <x:v>Minor - keep out of gaming operation</x:v>
      </x:c>
      <x:c r="I12" s="65"/>
      <x:c r="J12" s="65"/>
      <x:c r="K12" s="65"/>
      <x:c r="L12" s="65"/>
      <x:c r="M12" s="65"/>
      <x:c r="N12" s="65"/>
    </x:row>
    <x:row r="13" ht="15" hidden="0" customHeight="1">
      <x:c r="A13" s="65"/>
      <x:c r="B13" s="65"/>
      <x:c r="C13" s="65"/>
      <x:c r="D13" s="65"/>
      <x:c r="E13" s="92"/>
      <x:c r="F13" s="87"/>
      <x:c r="G13" s="93"/>
      <x:c r="H13" s="65"/>
      <x:c r="I13" s="65"/>
      <x:c r="J13" s="65"/>
      <x:c r="K13" s="65"/>
      <x:c r="L13" s="65"/>
      <x:c r="M13" s="65"/>
      <x:c r="N13" s="65"/>
    </x:row>
    <x:row r="14" ht="15" hidden="0" customHeight="1">
      <x:c r="A14" s="66" t="str">
        <x:v>Summary</x:v>
      </x:c>
      <x:c r="B14" s="65" t="str"/>
      <x:c r="C14" s="65" t="str"/>
      <x:c r="D14" s="65" t="str"/>
      <x:c r="E14" s="92" t="str"/>
      <x:c r="F14" s="87" t="str"/>
      <x:c r="G14" s="93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65" t="str">
        <x:v>Total CGN Payroll</x:v>
      </x:c>
      <x:c r="B15" s="65" t="str"/>
      <x:c r="C15" s="65" t="str"/>
      <x:c r="D15" s="65" t="str"/>
      <x:c r="E15" s="92" t="str"/>
      <x:c r="F15" s="93" t="n">
        <x:f>SUM(G4:G12)</x:f>
        <x:v>14100</x:v>
      </x:c>
      <x:c r="G15" s="93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65" t="str">
        <x:v>Average Monthly Pay Per Active Person</x:v>
      </x:c>
      <x:c r="B16" s="65" t="str"/>
      <x:c r="C16" s="65" t="str"/>
      <x:c r="D16" s="65" t="str"/>
      <x:c r="E16" s="92" t="str"/>
      <x:c r="F16" s="93" t="n">
        <x:f>IF(COUNTIF(G4:G12,"&gt;0")=0,0,SUM(G4:G12)/COUNTIF(G4:G12,"&gt;0"))</x:f>
        <x:v>2350</x:v>
      </x:c>
      <x:c r="G16" s="93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 t="str">
        <x:v>Payroll % of Gross</x:v>
      </x:c>
      <x:c r="B17" s="65" t="str"/>
      <x:c r="C17" s="65" t="str"/>
      <x:c r="D17" s="65" t="str"/>
      <x:c r="E17" s="92" t="str"/>
      <x:c r="F17" s="69" t="n">
        <x:f>F15/Dashboard!B5</x:f>
        <x:v>0.0705</x:v>
      </x:c>
      <x:c r="G17" s="93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 t="str"/>
      <x:c r="B18" s="65" t="str"/>
      <x:c r="C18" s="65" t="str"/>
      <x:c r="D18" s="65" t="str"/>
      <x:c r="E18" s="92" t="str"/>
      <x:c r="F18" s="87" t="str"/>
      <x:c r="G18" s="93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92"/>
      <x:c r="F19" s="87"/>
      <x:c r="G19" s="93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92"/>
      <x:c r="F20" s="87"/>
      <x:c r="G20" s="93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H1"/>
    <x:mergeCell ref="A14:F14"/>
  </x:mergeCells>
  <x:dataValidations count="2">
    <x:dataValidation type="list" sqref="C4:C20">
      <x:formula1>"CGN,VMP,None initially,Household / family,TBD"</x:formula1>
    </x:dataValidation>
    <x:dataValidation type="list" sqref="D4:D20">
      <x:formula1>"W-2,1099,W-2 or 1099,Contract,None,TBD"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366234ef294e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3" max="3" width="20" hidden="0" customWidth="1"/>
  </x:cols>
  <x:sheetData>
    <x:row r="1" ht="15" hidden="0" customHeight="1">
      <x:c r="A1" s="64" t="str">
        <x:v>VMP Service Contract and Internal Allocation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66" t="str">
        <x:v>CGN pays VMP monthly service contract</x:v>
      </x:c>
      <x:c r="B3" s="93" t="n">
        <x:f>Dashboard!B9</x:f>
        <x:v>15000</x:v>
      </x:c>
      <x:c r="C3" s="65"/>
      <x:c r="D3" s="86" t="str">
        <x:v>Payee / Use</x:v>
      </x:c>
      <x:c r="E3" s="86" t="str">
        <x:v>Work Paid For</x:v>
      </x:c>
      <x:c r="F3" s="86" t="str">
        <x:v>Pay Method</x:v>
      </x:c>
      <x:c r="G3" s="86" t="str">
        <x:v>Monthly Amount</x:v>
      </x:c>
      <x:c r="H3" s="86" t="str">
        <x:v>Notes</x:v>
      </x:c>
      <x:c r="I3" s="65"/>
      <x:c r="J3" s="65"/>
      <x:c r="K3" s="65"/>
      <x:c r="L3" s="65"/>
      <x:c r="M3" s="65"/>
      <x:c r="N3" s="65"/>
    </x:row>
    <x:row r="4" ht="15" hidden="0" customHeight="1">
      <x:c r="A4" s="66" t="str">
        <x:v>Services covered</x:v>
      </x:c>
      <x:c r="B4" s="96" t="str">
        <x:v>Admin, HR, marketing, website, IT, vendor coordination, business planning</x:v>
      </x:c>
      <x:c r="C4" s="65"/>
      <x:c r="D4" s="65" t="str">
        <x:v>Lauren</x:v>
      </x:c>
      <x:c r="E4" s="65" t="str">
        <x:v>Admin systems / project management / reporting</x:v>
      </x:c>
      <x:c r="F4" s="65" t="str">
        <x:v>Owner draw/payroll</x:v>
      </x:c>
      <x:c r="G4" s="68" t="n">
        <x:v>4000</x:v>
      </x:c>
      <x:c r="H4" s="65" t="str">
        <x:v>Adjustable</x:v>
      </x:c>
      <x:c r="I4" s="65"/>
      <x:c r="J4" s="65"/>
      <x:c r="K4" s="65"/>
      <x:c r="L4" s="65"/>
      <x:c r="M4" s="65"/>
      <x:c r="N4" s="65"/>
    </x:row>
    <x:row r="5" ht="15" hidden="0" customHeight="1">
      <x:c r="A5" s="66" t="str">
        <x:v>Contract type</x:v>
      </x:c>
      <x:c r="B5" s="96" t="str">
        <x:v>Board-approved service agreement</x:v>
      </x:c>
      <x:c r="C5" s="65"/>
      <x:c r="D5" s="65" t="str">
        <x:v>Matthew</x:v>
      </x:c>
      <x:c r="E5" s="65" t="str">
        <x:v>Operations systems / vendors / facility planning</x:v>
      </x:c>
      <x:c r="F5" s="65" t="str">
        <x:v>Owner draw/payroll</x:v>
      </x:c>
      <x:c r="G5" s="68" t="n">
        <x:v>3500</x:v>
      </x:c>
      <x:c r="H5" s="65" t="str">
        <x:v>Adjustable</x:v>
      </x:c>
      <x:c r="I5" s="65"/>
      <x:c r="J5" s="65"/>
      <x:c r="K5" s="65"/>
      <x:c r="L5" s="65"/>
      <x:c r="M5" s="65"/>
      <x:c r="N5" s="65"/>
    </x:row>
    <x:row r="6" ht="15" hidden="0" customHeight="1">
      <x:c r="A6" s="66" t="str">
        <x:v>Billing basis</x:v>
      </x:c>
      <x:c r="B6" s="96" t="str">
        <x:v>Flat monthly retainer; edit in Inputs by scenario</x:v>
      </x:c>
      <x:c r="C6" s="65"/>
      <x:c r="D6" s="65" t="str">
        <x:v>Mandy</x:v>
      </x:c>
      <x:c r="E6" s="65" t="str">
        <x:v>Marketing / brand / website / partnerships</x:v>
      </x:c>
      <x:c r="F6" s="65" t="str">
        <x:v>Contractor/payroll</x:v>
      </x:c>
      <x:c r="G6" s="68" t="n">
        <x:v>2500</x:v>
      </x:c>
      <x:c r="H6" s="65" t="str">
        <x:v>Adjustable</x:v>
      </x:c>
      <x:c r="I6" s="65"/>
      <x:c r="J6" s="65"/>
      <x:c r="K6" s="65"/>
      <x:c r="L6" s="65"/>
      <x:c r="M6" s="65"/>
      <x:c r="N6" s="65"/>
    </x:row>
    <x:row r="7" ht="15" hidden="0" customHeight="1">
      <x:c r="A7" s="66" t="str">
        <x:v>Remaining after allocations</x:v>
      </x:c>
      <x:c r="B7" s="70" t="n">
        <x:f>B3-SUM(G4:G15)</x:f>
        <x:v>250</x:v>
      </x:c>
      <x:c r="C7" s="65"/>
      <x:c r="D7" s="65" t="str">
        <x:v>Website tools</x:v>
      </x:c>
      <x:c r="E7" s="65" t="str">
        <x:v>Website/software/subscriptions</x:v>
      </x:c>
      <x:c r="F7" s="65" t="str">
        <x:v>Vendor</x:v>
      </x:c>
      <x:c r="G7" s="68" t="n">
        <x:v>500</x:v>
      </x:c>
      <x:c r="H7" s="65" t="str">
        <x:v>Adjustable</x:v>
      </x:c>
      <x:c r="I7" s="65"/>
      <x:c r="J7" s="65"/>
      <x:c r="K7" s="65"/>
      <x:c r="L7" s="65"/>
      <x:c r="M7" s="65"/>
      <x:c r="N7" s="65"/>
    </x:row>
    <x:row r="8" ht="15" hidden="0" customHeight="1">
      <x:c r="A8" s="66" t="str">
        <x:v>Reserve / profit use</x:v>
      </x:c>
      <x:c r="B8" s="96" t="str">
        <x:v>VMP overhead, taxes, reserve, reinvestment</x:v>
      </x:c>
      <x:c r="C8" s="65"/>
      <x:c r="D8" s="65" t="str">
        <x:v>Bookkeeping admin support</x:v>
      </x:c>
      <x:c r="E8" s="65" t="str">
        <x:v>Internal admin support</x:v>
      </x:c>
      <x:c r="F8" s="65" t="str">
        <x:v>Contractor/payroll</x:v>
      </x:c>
      <x:c r="G8" s="68" t="n">
        <x:v>500</x:v>
      </x:c>
      <x:c r="H8" s="65" t="str">
        <x:v>If handled by VMP</x:v>
      </x:c>
      <x:c r="I8" s="65"/>
      <x:c r="J8" s="65"/>
      <x:c r="K8" s="65"/>
      <x:c r="L8" s="65"/>
      <x:c r="M8" s="65"/>
      <x:c r="N8" s="65"/>
    </x:row>
    <x:row r="9" ht="15" hidden="0" customHeight="1">
      <x:c r="A9" s="65"/>
      <x:c r="B9" s="65"/>
      <x:c r="C9" s="65"/>
      <x:c r="D9" s="65" t="str">
        <x:v>HR/recruiting support</x:v>
      </x:c>
      <x:c r="E9" s="65" t="str">
        <x:v>Hiring, onboarding, training admin</x:v>
      </x:c>
      <x:c r="F9" s="65" t="str">
        <x:v>Contractor/payroll</x:v>
      </x:c>
      <x:c r="G9" s="68" t="n">
        <x:v>750</x:v>
      </x:c>
      <x:c r="H9" s="65" t="str">
        <x:v>Adjustable</x:v>
      </x:c>
      <x:c r="I9" s="65"/>
      <x:c r="J9" s="65"/>
      <x:c r="K9" s="65"/>
      <x:c r="L9" s="65"/>
      <x:c r="M9" s="65"/>
      <x:c r="N9" s="65"/>
    </x:row>
    <x:row r="10" ht="15" hidden="0" customHeight="1">
      <x:c r="A10" s="65"/>
      <x:c r="B10" s="65"/>
      <x:c r="C10" s="65"/>
      <x:c r="D10" s="65" t="str">
        <x:v>Business overhead</x:v>
      </x:c>
      <x:c r="E10" s="65" t="str">
        <x:v>Software, phone, admin costs</x:v>
      </x:c>
      <x:c r="F10" s="65" t="str">
        <x:v>Vendor</x:v>
      </x:c>
      <x:c r="G10" s="68" t="n">
        <x:v>1000</x:v>
      </x:c>
      <x:c r="H10" s="65" t="str">
        <x:v>Adjustable</x:v>
      </x:c>
      <x:c r="I10" s="65"/>
      <x:c r="J10" s="65"/>
      <x:c r="K10" s="65"/>
      <x:c r="L10" s="65"/>
      <x:c r="M10" s="65"/>
      <x:c r="N10" s="65"/>
    </x:row>
    <x:row r="11" ht="15" hidden="0" customHeight="1">
      <x:c r="A11" s="65"/>
      <x:c r="B11" s="65"/>
      <x:c r="C11" s="65"/>
      <x:c r="D11" s="65" t="str">
        <x:v>Tax reserve</x:v>
      </x:c>
      <x:c r="E11" s="65" t="str">
        <x:v>Set aside for taxes</x:v>
      </x:c>
      <x:c r="F11" s="65" t="str">
        <x:v>Reserve</x:v>
      </x:c>
      <x:c r="G11" s="68" t="n">
        <x:v>1000</x:v>
      </x:c>
      <x:c r="H11" s="65" t="str">
        <x:v>Adjustable</x:v>
      </x:c>
      <x:c r="I11" s="65"/>
      <x:c r="J11" s="65"/>
      <x:c r="K11" s="65"/>
      <x:c r="L11" s="65"/>
      <x:c r="M11" s="65"/>
      <x:c r="N11" s="65"/>
    </x:row>
    <x:row r="12" ht="15" hidden="0" customHeight="1">
      <x:c r="A12" s="65"/>
      <x:c r="B12" s="65"/>
      <x:c r="C12" s="65"/>
      <x:c r="D12" s="65" t="str">
        <x:v>Expansion reserve</x:v>
      </x:c>
      <x:c r="E12" s="65" t="str">
        <x:v>Growth planning reserve</x:v>
      </x:c>
      <x:c r="F12" s="65" t="str">
        <x:v>Reserve</x:v>
      </x:c>
      <x:c r="G12" s="68" t="n">
        <x:v>1000</x:v>
      </x:c>
      <x:c r="H12" s="65" t="str">
        <x:v>Adjustable</x:v>
      </x:c>
      <x:c r="I12" s="65"/>
      <x:c r="J12" s="65"/>
      <x:c r="K12" s="65"/>
      <x:c r="L12" s="65"/>
      <x:c r="M12" s="65"/>
      <x:c r="N12" s="65"/>
    </x:row>
    <x:row r="13" ht="15" hidden="0" customHeight="1">
      <x:c r="A13" s="65"/>
      <x:c r="B13" s="65"/>
      <x:c r="C13" s="65"/>
      <x:c r="D13" s="65" t="str">
        <x:v>Unassigned buffer</x:v>
      </x:c>
      <x:c r="E13" s="65" t="str">
        <x:v>Flex category</x:v>
      </x:c>
      <x:c r="F13" s="65" t="str">
        <x:v>Reserve</x:v>
      </x:c>
      <x:c r="G13" s="68" t="n">
        <x:v>0</x:v>
      </x:c>
      <x:c r="H13" s="65" t="str">
        <x:v>Adjustable</x:v>
      </x:c>
      <x:c r="I13" s="65"/>
      <x:c r="J13" s="65"/>
      <x:c r="K13" s="65"/>
      <x:c r="L13" s="65"/>
      <x:c r="M13" s="65"/>
      <x:c r="N13" s="65"/>
    </x:row>
    <x:row r="14" ht="15" hidden="0" customHeight="1">
      <x:c r="A14" s="65"/>
      <x:c r="B14" s="65"/>
      <x:c r="C14" s="65"/>
      <x:c r="D14" s="65" t="str"/>
      <x:c r="E14" s="65" t="str"/>
      <x:c r="F14" s="65" t="str"/>
      <x:c r="G14" s="68" t="n">
        <x:v>0</x:v>
      </x:c>
      <x:c r="H14" s="65" t="str"/>
      <x:c r="I14" s="65"/>
      <x:c r="J14" s="65"/>
      <x:c r="K14" s="65"/>
      <x:c r="L14" s="65"/>
      <x:c r="M14" s="65"/>
      <x:c r="N14" s="65"/>
    </x:row>
    <x:row r="15" ht="15" hidden="0" customHeight="1">
      <x:c r="A15" s="65"/>
      <x:c r="B15" s="65"/>
      <x:c r="C15" s="65"/>
      <x:c r="D15" s="65" t="str"/>
      <x:c r="E15" s="65" t="str"/>
      <x:c r="F15" s="65" t="str"/>
      <x:c r="G15" s="68" t="n">
        <x:v>0</x:v>
      </x:c>
      <x:c r="H15" s="65" t="str"/>
      <x:c r="I15" s="65"/>
      <x:c r="J15" s="65"/>
      <x:c r="K15" s="65"/>
      <x:c r="L15" s="65"/>
      <x:c r="M15" s="65"/>
      <x:c r="N15" s="65"/>
    </x:row>
    <x:row r="16" ht="15" hidden="0" customHeight="1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ff3dca9786f47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12.130000114440918" hidden="0" customWidth="1"/>
    <x:col min="10" max="10" width="12.130000114440918" hidden="0" customWidth="1"/>
    <x:col min="11" max="11" width="12.130000114440918" hidden="0" customWidth="1"/>
    <x:col min="12" max="12" width="12.130000114440918" hidden="0" customWidth="1"/>
    <x:col min="13" max="13" width="12.130000114440918" hidden="0" customWidth="1"/>
    <x:col min="14" max="14" width="13" hidden="0" customWidth="1"/>
  </x:cols>
  <x:sheetData>
    <x:row r="1" ht="15" hidden="0" customHeight="1">
      <x:c r="A1" s="64" t="str">
        <x:v>12-Month Prediction - Gross to Service Contracts to Paychecks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Line Item</x:v>
      </x:c>
      <x:c r="B3" s="86" t="str">
        <x:v>Month 1</x:v>
      </x:c>
      <x:c r="C3" s="86" t="str">
        <x:v>Month 2</x:v>
      </x:c>
      <x:c r="D3" s="86" t="str">
        <x:v>Month 3</x:v>
      </x:c>
      <x:c r="E3" s="86" t="str">
        <x:v>Month 4</x:v>
      </x:c>
      <x:c r="F3" s="86" t="str">
        <x:v>Month 5</x:v>
      </x:c>
      <x:c r="G3" s="86" t="str">
        <x:v>Month 6</x:v>
      </x:c>
      <x:c r="H3" s="86" t="str">
        <x:v>Month 7</x:v>
      </x:c>
      <x:c r="I3" s="86" t="str">
        <x:v>Month 8</x:v>
      </x:c>
      <x:c r="J3" s="86" t="str">
        <x:v>Month 9</x:v>
      </x:c>
      <x:c r="K3" s="86" t="str">
        <x:v>Month 10</x:v>
      </x:c>
      <x:c r="L3" s="86" t="str">
        <x:v>Month 11</x:v>
      </x:c>
      <x:c r="M3" s="86" t="str">
        <x:v>Month 12</x:v>
      </x:c>
      <x:c r="N3" s="86" t="str">
        <x:v>Total</x:v>
      </x:c>
    </x:row>
    <x:row r="4" ht="15" hidden="0" customHeight="1">
      <x:c r="A4" s="65" t="str">
        <x:v>Gross Gaming Revenue</x:v>
      </x:c>
      <x:c r="B4" s="70" t="n">
        <x:f>Dashboard!$B$5*(1+B$16)</x:f>
        <x:v>200000</x:v>
      </x:c>
      <x:c r="C4" s="70" t="n">
        <x:f>Dashboard!$B$5*(1+C$16)</x:f>
        <x:v>204000</x:v>
      </x:c>
      <x:c r="D4" s="70" t="n">
        <x:f>Dashboard!$B$5*(1+D$16)</x:f>
        <x:v>208000</x:v>
      </x:c>
      <x:c r="E4" s="70" t="n">
        <x:f>Dashboard!$B$5*(1+E$16)</x:f>
        <x:v>210000</x:v>
      </x:c>
      <x:c r="F4" s="70" t="n">
        <x:f>Dashboard!$B$5*(1+F$16)</x:f>
        <x:v>212000</x:v>
      </x:c>
      <x:c r="G4" s="70" t="n">
        <x:f>Dashboard!$B$5*(1+G$16)</x:f>
        <x:v>212000</x:v>
      </x:c>
      <x:c r="H4" s="70" t="n">
        <x:f>Dashboard!$B$5*(1+H$16)</x:f>
        <x:v>214000</x:v>
      </x:c>
      <x:c r="I4" s="70" t="n">
        <x:f>Dashboard!$B$5*(1+I$16)</x:f>
        <x:v>214000</x:v>
      </x:c>
      <x:c r="J4" s="70" t="n">
        <x:f>Dashboard!$B$5*(1+J$16)</x:f>
        <x:v>216000</x:v>
      </x:c>
      <x:c r="K4" s="70" t="n">
        <x:f>Dashboard!$B$5*(1+K$16)</x:f>
        <x:v>216000</x:v>
      </x:c>
      <x:c r="L4" s="70" t="n">
        <x:f>Dashboard!$B$5*(1+L$16)</x:f>
        <x:v>220000.00000000003</x:v>
      </x:c>
      <x:c r="M4" s="70" t="n">
        <x:f>Dashboard!$B$5*(1+M$16)</x:f>
        <x:v>220000.00000000003</x:v>
      </x:c>
      <x:c r="N4" s="70" t="n">
        <x:f>SUM(B4:M4)</x:f>
        <x:v>2546000</x:v>
      </x:c>
    </x:row>
    <x:row r="5" ht="15" hidden="0" customHeight="1">
      <x:c r="A5" s="65" t="str">
        <x:v>Distributor / Arrow Share</x:v>
      </x:c>
      <x:c r="B5" s="70" t="n">
        <x:f>B4*VLOOKUP(Dashboard!$B$3,Inputs!$A$4:$K$8,3,FALSE)</x:f>
        <x:v>80000</x:v>
      </x:c>
      <x:c r="C5" s="70" t="n">
        <x:f>C4*VLOOKUP(Dashboard!$B$3,Inputs!$A$4:$K$8,3,FALSE)</x:f>
        <x:v>81600</x:v>
      </x:c>
      <x:c r="D5" s="70" t="n">
        <x:f>D4*VLOOKUP(Dashboard!$B$3,Inputs!$A$4:$K$8,3,FALSE)</x:f>
        <x:v>83200</x:v>
      </x:c>
      <x:c r="E5" s="70" t="n">
        <x:f>E4*VLOOKUP(Dashboard!$B$3,Inputs!$A$4:$K$8,3,FALSE)</x:f>
        <x:v>84000</x:v>
      </x:c>
      <x:c r="F5" s="70" t="n">
        <x:f>F4*VLOOKUP(Dashboard!$B$3,Inputs!$A$4:$K$8,3,FALSE)</x:f>
        <x:v>84800</x:v>
      </x:c>
      <x:c r="G5" s="70" t="n">
        <x:f>G4*VLOOKUP(Dashboard!$B$3,Inputs!$A$4:$K$8,3,FALSE)</x:f>
        <x:v>84800</x:v>
      </x:c>
      <x:c r="H5" s="70" t="n">
        <x:f>H4*VLOOKUP(Dashboard!$B$3,Inputs!$A$4:$K$8,3,FALSE)</x:f>
        <x:v>85600</x:v>
      </x:c>
      <x:c r="I5" s="70" t="n">
        <x:f>I4*VLOOKUP(Dashboard!$B$3,Inputs!$A$4:$K$8,3,FALSE)</x:f>
        <x:v>85600</x:v>
      </x:c>
      <x:c r="J5" s="70" t="n">
        <x:f>J4*VLOOKUP(Dashboard!$B$3,Inputs!$A$4:$K$8,3,FALSE)</x:f>
        <x:v>86400</x:v>
      </x:c>
      <x:c r="K5" s="70" t="n">
        <x:f>K4*VLOOKUP(Dashboard!$B$3,Inputs!$A$4:$K$8,3,FALSE)</x:f>
        <x:v>86400</x:v>
      </x:c>
      <x:c r="L5" s="70" t="n">
        <x:f>L4*VLOOKUP(Dashboard!$B$3,Inputs!$A$4:$K$8,3,FALSE)</x:f>
        <x:v>88000.00000000001</x:v>
      </x:c>
      <x:c r="M5" s="70" t="n">
        <x:f>M4*VLOOKUP(Dashboard!$B$3,Inputs!$A$4:$K$8,3,FALSE)</x:f>
        <x:v>88000.00000000001</x:v>
      </x:c>
      <x:c r="N5" s="70" t="n">
        <x:f>SUM(B5:M5)</x:f>
        <x:v>1018400</x:v>
      </x:c>
    </x:row>
    <x:row r="6" ht="15" hidden="0" customHeight="1">
      <x:c r="A6" s="65" t="str">
        <x:v>Direct CGN Expenses</x:v>
      </x:c>
      <x:c r="B6" s="70" t="n">
        <x:f>Dashboard!$B$7</x:f>
        <x:v>12500</x:v>
      </x:c>
      <x:c r="C6" s="70" t="n">
        <x:f>Dashboard!$B$7</x:f>
        <x:v>12500</x:v>
      </x:c>
      <x:c r="D6" s="70" t="n">
        <x:f>Dashboard!$B$7</x:f>
        <x:v>12500</x:v>
      </x:c>
      <x:c r="E6" s="70" t="n">
        <x:f>Dashboard!$B$7</x:f>
        <x:v>12500</x:v>
      </x:c>
      <x:c r="F6" s="70" t="n">
        <x:f>Dashboard!$B$7</x:f>
        <x:v>12500</x:v>
      </x:c>
      <x:c r="G6" s="70" t="n">
        <x:f>Dashboard!$B$7</x:f>
        <x:v>12500</x:v>
      </x:c>
      <x:c r="H6" s="70" t="n">
        <x:f>Dashboard!$B$7</x:f>
        <x:v>12500</x:v>
      </x:c>
      <x:c r="I6" s="70" t="n">
        <x:f>Dashboard!$B$7</x:f>
        <x:v>12500</x:v>
      </x:c>
      <x:c r="J6" s="70" t="n">
        <x:f>Dashboard!$B$7</x:f>
        <x:v>12500</x:v>
      </x:c>
      <x:c r="K6" s="70" t="n">
        <x:f>Dashboard!$B$7</x:f>
        <x:v>12500</x:v>
      </x:c>
      <x:c r="L6" s="70" t="n">
        <x:f>Dashboard!$B$7</x:f>
        <x:v>12500</x:v>
      </x:c>
      <x:c r="M6" s="70" t="n">
        <x:f>Dashboard!$B$7</x:f>
        <x:v>12500</x:v>
      </x:c>
      <x:c r="N6" s="70" t="n">
        <x:f>SUM(B6:M6)</x:f>
        <x:v>150000</x:v>
      </x:c>
    </x:row>
    <x:row r="7" ht="15" hidden="0" customHeight="1">
      <x:c r="A7" s="65" t="str">
        <x:v>CGN Payroll</x:v>
      </x:c>
      <x:c r="B7" s="70" t="n">
        <x:f>Dashboard!$B$8</x:f>
        <x:v>14100</x:v>
      </x:c>
      <x:c r="C7" s="70" t="n">
        <x:f>Dashboard!$B$8</x:f>
        <x:v>14100</x:v>
      </x:c>
      <x:c r="D7" s="70" t="n">
        <x:f>Dashboard!$B$8</x:f>
        <x:v>14100</x:v>
      </x:c>
      <x:c r="E7" s="70" t="n">
        <x:f>Dashboard!$B$8</x:f>
        <x:v>14100</x:v>
      </x:c>
      <x:c r="F7" s="70" t="n">
        <x:f>Dashboard!$B$8</x:f>
        <x:v>14100</x:v>
      </x:c>
      <x:c r="G7" s="70" t="n">
        <x:f>Dashboard!$B$8</x:f>
        <x:v>14100</x:v>
      </x:c>
      <x:c r="H7" s="70" t="n">
        <x:f>Dashboard!$B$8</x:f>
        <x:v>14100</x:v>
      </x:c>
      <x:c r="I7" s="70" t="n">
        <x:f>Dashboard!$B$8</x:f>
        <x:v>14100</x:v>
      </x:c>
      <x:c r="J7" s="70" t="n">
        <x:f>Dashboard!$B$8</x:f>
        <x:v>14100</x:v>
      </x:c>
      <x:c r="K7" s="70" t="n">
        <x:f>Dashboard!$B$8</x:f>
        <x:v>14100</x:v>
      </x:c>
      <x:c r="L7" s="70" t="n">
        <x:f>Dashboard!$B$8</x:f>
        <x:v>14100</x:v>
      </x:c>
      <x:c r="M7" s="70" t="n">
        <x:f>Dashboard!$B$8</x:f>
        <x:v>14100</x:v>
      </x:c>
      <x:c r="N7" s="70" t="n">
        <x:f>SUM(B7:M7)</x:f>
        <x:v>169200</x:v>
      </x:c>
    </x:row>
    <x:row r="8" ht="15" hidden="0" customHeight="1">
      <x:c r="A8" s="65" t="str">
        <x:v>VMP Service Contract</x:v>
      </x:c>
      <x:c r="B8" s="70" t="n">
        <x:f>Dashboard!$B$9</x:f>
        <x:v>15000</x:v>
      </x:c>
      <x:c r="C8" s="70" t="n">
        <x:f>Dashboard!$B$9</x:f>
        <x:v>15000</x:v>
      </x:c>
      <x:c r="D8" s="70" t="n">
        <x:f>Dashboard!$B$9</x:f>
        <x:v>15000</x:v>
      </x:c>
      <x:c r="E8" s="70" t="n">
        <x:f>Dashboard!$B$9</x:f>
        <x:v>15000</x:v>
      </x:c>
      <x:c r="F8" s="70" t="n">
        <x:f>Dashboard!$B$9</x:f>
        <x:v>15000</x:v>
      </x:c>
      <x:c r="G8" s="70" t="n">
        <x:f>Dashboard!$B$9</x:f>
        <x:v>15000</x:v>
      </x:c>
      <x:c r="H8" s="70" t="n">
        <x:f>Dashboard!$B$9</x:f>
        <x:v>15000</x:v>
      </x:c>
      <x:c r="I8" s="70" t="n">
        <x:f>Dashboard!$B$9</x:f>
        <x:v>15000</x:v>
      </x:c>
      <x:c r="J8" s="70" t="n">
        <x:f>Dashboard!$B$9</x:f>
        <x:v>15000</x:v>
      </x:c>
      <x:c r="K8" s="70" t="n">
        <x:f>Dashboard!$B$9</x:f>
        <x:v>15000</x:v>
      </x:c>
      <x:c r="L8" s="70" t="n">
        <x:f>Dashboard!$B$9</x:f>
        <x:v>15000</x:v>
      </x:c>
      <x:c r="M8" s="70" t="n">
        <x:f>Dashboard!$B$9</x:f>
        <x:v>15000</x:v>
      </x:c>
      <x:c r="N8" s="70" t="n">
        <x:f>SUM(B8:M8)</x:f>
        <x:v>180000</x:v>
      </x:c>
    </x:row>
    <x:row r="9" ht="15" hidden="0" customHeight="1">
      <x:c r="A9" s="65" t="str">
        <x:v>Mission / Reserve Left</x:v>
      </x:c>
      <x:c r="B9" s="70" t="n">
        <x:f>B4-B5-B6-B7-B8</x:f>
        <x:v>78400</x:v>
      </x:c>
      <x:c r="C9" s="70" t="n">
        <x:f>C4-C5-C6-C7-C8</x:f>
        <x:v>80800</x:v>
      </x:c>
      <x:c r="D9" s="70" t="n">
        <x:f>D4-D5-D6-D7-D8</x:f>
        <x:v>83200</x:v>
      </x:c>
      <x:c r="E9" s="70" t="n">
        <x:f>E4-E5-E6-E7-E8</x:f>
        <x:v>84400</x:v>
      </x:c>
      <x:c r="F9" s="70" t="n">
        <x:f>F4-F5-F6-F7-F8</x:f>
        <x:v>85600</x:v>
      </x:c>
      <x:c r="G9" s="70" t="n">
        <x:f>G4-G5-G6-G7-G8</x:f>
        <x:v>85600</x:v>
      </x:c>
      <x:c r="H9" s="70" t="n">
        <x:f>H4-H5-H6-H7-H8</x:f>
        <x:v>86800</x:v>
      </x:c>
      <x:c r="I9" s="70" t="n">
        <x:f>I4-I5-I6-I7-I8</x:f>
        <x:v>86800</x:v>
      </x:c>
      <x:c r="J9" s="70" t="n">
        <x:f>J4-J5-J6-J7-J8</x:f>
        <x:v>88000</x:v>
      </x:c>
      <x:c r="K9" s="70" t="n">
        <x:f>K4-K5-K6-K7-K8</x:f>
        <x:v>88000</x:v>
      </x:c>
      <x:c r="L9" s="70" t="n">
        <x:f>L4-L5-L6-L7-L8</x:f>
        <x:v>90400</x:v>
      </x:c>
      <x:c r="M9" s="70" t="n">
        <x:f>M4-M5-M6-M7-M8</x:f>
        <x:v>90400</x:v>
      </x:c>
      <x:c r="N9" s="70" t="n">
        <x:f>SUM(B9:M9)</x:f>
        <x:v>1028400</x:v>
      </x:c>
    </x:row>
    <x:row r="10" ht="15" hidden="0" customHeight="1">
      <x:c r="A10" s="65" t="str">
        <x:v>Mission Left % of Gross</x:v>
      </x:c>
      <x:c r="B10" s="69" t="n">
        <x:f>IFERROR(B9/B4,0)</x:f>
        <x:v>0.392</x:v>
      </x:c>
      <x:c r="C10" s="69" t="n">
        <x:f>IFERROR(C9/C4,0)</x:f>
        <x:v>0.396078431372549</x:v>
      </x:c>
      <x:c r="D10" s="69" t="n">
        <x:f>IFERROR(D9/D4,0)</x:f>
        <x:v>0.4</x:v>
      </x:c>
      <x:c r="E10" s="69" t="n">
        <x:f>IFERROR(E9/E4,0)</x:f>
        <x:v>0.40190476190476193</x:v>
      </x:c>
      <x:c r="F10" s="69" t="n">
        <x:f>IFERROR(F9/F4,0)</x:f>
        <x:v>0.4037735849056604</x:v>
      </x:c>
      <x:c r="G10" s="69" t="n">
        <x:f>IFERROR(G9/G4,0)</x:f>
        <x:v>0.4037735849056604</x:v>
      </x:c>
      <x:c r="H10" s="69" t="n">
        <x:f>IFERROR(H9/H4,0)</x:f>
        <x:v>0.405607476635514</x:v>
      </x:c>
      <x:c r="I10" s="69" t="n">
        <x:f>IFERROR(I9/I4,0)</x:f>
        <x:v>0.405607476635514</x:v>
      </x:c>
      <x:c r="J10" s="69" t="n">
        <x:f>IFERROR(J9/J4,0)</x:f>
        <x:v>0.4074074074074074</x:v>
      </x:c>
      <x:c r="K10" s="69" t="n">
        <x:f>IFERROR(K9/K4,0)</x:f>
        <x:v>0.4074074074074074</x:v>
      </x:c>
      <x:c r="L10" s="69" t="n">
        <x:f>IFERROR(L9/L4,0)</x:f>
        <x:v>0.41090909090909084</x:v>
      </x:c>
      <x:c r="M10" s="69" t="n">
        <x:f>IFERROR(M9/M4,0)</x:f>
        <x:v>0.41090909090909084</x:v>
      </x:c>
      <x:c r="N10" s="69" t="n">
        <x:f>IFERROR(N9/N4,0)</x:f>
        <x:v>0.40392772977219166</x:v>
      </x:c>
    </x:row>
    <x:row r="11" ht="15" hidden="0" customHeight="1">
      <x:c r="A11" s="65" t="str">
        <x:v>Estimated Adjusted Gross</x:v>
      </x:c>
      <x:c r="B11" s="70" t="n">
        <x:f>B4*Inputs!$B$30</x:f>
        <x:v>120000</x:v>
      </x:c>
      <x:c r="C11" s="70" t="n">
        <x:f>C4*Inputs!$B$30</x:f>
        <x:v>122400</x:v>
      </x:c>
      <x:c r="D11" s="70" t="n">
        <x:f>D4*Inputs!$B$30</x:f>
        <x:v>124800</x:v>
      </x:c>
      <x:c r="E11" s="70" t="n">
        <x:f>E4*Inputs!$B$30</x:f>
        <x:v>126000</x:v>
      </x:c>
      <x:c r="F11" s="70" t="n">
        <x:f>F4*Inputs!$B$30</x:f>
        <x:v>127200</x:v>
      </x:c>
      <x:c r="G11" s="70" t="n">
        <x:f>G4*Inputs!$B$30</x:f>
        <x:v>127200</x:v>
      </x:c>
      <x:c r="H11" s="70" t="n">
        <x:f>H4*Inputs!$B$30</x:f>
        <x:v>128400</x:v>
      </x:c>
      <x:c r="I11" s="70" t="n">
        <x:f>I4*Inputs!$B$30</x:f>
        <x:v>128400</x:v>
      </x:c>
      <x:c r="J11" s="70" t="n">
        <x:f>J4*Inputs!$B$30</x:f>
        <x:v>129600</x:v>
      </x:c>
      <x:c r="K11" s="70" t="n">
        <x:f>K4*Inputs!$B$30</x:f>
        <x:v>129600</x:v>
      </x:c>
      <x:c r="L11" s="70" t="n">
        <x:f>L4*Inputs!$B$30</x:f>
        <x:v>132000</x:v>
      </x:c>
      <x:c r="M11" s="70" t="n">
        <x:f>M4*Inputs!$B$30</x:f>
        <x:v>132000</x:v>
      </x:c>
      <x:c r="N11" s="70" t="n">
        <x:f>SUM(B11:M11)</x:f>
        <x:v>1527600</x:v>
      </x:c>
    </x:row>
    <x:row r="12" ht="15" hidden="0" customHeight="1">
      <x:c r="A12" s="65" t="str">
        <x:v>40% Retention Target</x:v>
      </x:c>
      <x:c r="B12" s="70" t="n">
        <x:f>B11*Inputs!$B$31</x:f>
        <x:v>48000</x:v>
      </x:c>
      <x:c r="C12" s="70" t="n">
        <x:f>C11*Inputs!$B$31</x:f>
        <x:v>48960</x:v>
      </x:c>
      <x:c r="D12" s="70" t="n">
        <x:f>D11*Inputs!$B$31</x:f>
        <x:v>49920</x:v>
      </x:c>
      <x:c r="E12" s="70" t="n">
        <x:f>E11*Inputs!$B$31</x:f>
        <x:v>50400</x:v>
      </x:c>
      <x:c r="F12" s="70" t="n">
        <x:f>F11*Inputs!$B$31</x:f>
        <x:v>50880</x:v>
      </x:c>
      <x:c r="G12" s="70" t="n">
        <x:f>G11*Inputs!$B$31</x:f>
        <x:v>50880</x:v>
      </x:c>
      <x:c r="H12" s="70" t="n">
        <x:f>H11*Inputs!$B$31</x:f>
        <x:v>51360</x:v>
      </x:c>
      <x:c r="I12" s="70" t="n">
        <x:f>I11*Inputs!$B$31</x:f>
        <x:v>51360</x:v>
      </x:c>
      <x:c r="J12" s="70" t="n">
        <x:f>J11*Inputs!$B$31</x:f>
        <x:v>51840</x:v>
      </x:c>
      <x:c r="K12" s="70" t="n">
        <x:f>K11*Inputs!$B$31</x:f>
        <x:v>51840</x:v>
      </x:c>
      <x:c r="L12" s="70" t="n">
        <x:f>L11*Inputs!$B$31</x:f>
        <x:v>52800</x:v>
      </x:c>
      <x:c r="M12" s="70" t="n">
        <x:f>M11*Inputs!$B$31</x:f>
        <x:v>52800</x:v>
      </x:c>
      <x:c r="N12" s="70" t="n">
        <x:f>SUM(B12:M12)</x:f>
        <x:v>611040</x:v>
      </x:c>
    </x:row>
    <x:row r="13" ht="15" hidden="0" customHeight="1">
      <x:c r="A13" s="65" t="str">
        <x:v>Above / Below Target</x:v>
      </x:c>
      <x:c r="B13" s="70" t="n">
        <x:f>B9-B12</x:f>
        <x:v>30400</x:v>
      </x:c>
      <x:c r="C13" s="70" t="n">
        <x:f>C9-C12</x:f>
        <x:v>31840</x:v>
      </x:c>
      <x:c r="D13" s="70" t="n">
        <x:f>D9-D12</x:f>
        <x:v>33280</x:v>
      </x:c>
      <x:c r="E13" s="70" t="n">
        <x:f>E9-E12</x:f>
        <x:v>34000</x:v>
      </x:c>
      <x:c r="F13" s="70" t="n">
        <x:f>F9-F12</x:f>
        <x:v>34720</x:v>
      </x:c>
      <x:c r="G13" s="70" t="n">
        <x:f>G9-G12</x:f>
        <x:v>34720</x:v>
      </x:c>
      <x:c r="H13" s="70" t="n">
        <x:f>H9-H12</x:f>
        <x:v>35440</x:v>
      </x:c>
      <x:c r="I13" s="70" t="n">
        <x:f>I9-I12</x:f>
        <x:v>35440</x:v>
      </x:c>
      <x:c r="J13" s="70" t="n">
        <x:f>J9-J12</x:f>
        <x:v>36160</x:v>
      </x:c>
      <x:c r="K13" s="70" t="n">
        <x:f>K9-K12</x:f>
        <x:v>36160</x:v>
      </x:c>
      <x:c r="L13" s="70" t="n">
        <x:f>L9-L12</x:f>
        <x:v>37600</x:v>
      </x:c>
      <x:c r="M13" s="70" t="n">
        <x:f>M9-M12</x:f>
        <x:v>37600</x:v>
      </x:c>
      <x:c r="N13" s="70" t="n">
        <x:f>SUM(B13:M13)</x:f>
        <x:v>417360</x:v>
      </x:c>
    </x:row>
    <x:row r="14" ht="15" hidden="0" customHeight="1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65" t="str">
        <x:v>Monthly Gross Ramp %</x:v>
      </x:c>
      <x:c r="B16" s="88" t="n">
        <x:v>0</x:v>
      </x:c>
      <x:c r="C16" s="88" t="n">
        <x:v>0.02</x:v>
      </x:c>
      <x:c r="D16" s="88" t="n">
        <x:v>0.04</x:v>
      </x:c>
      <x:c r="E16" s="88" t="n">
        <x:v>0.05</x:v>
      </x:c>
      <x:c r="F16" s="88" t="n">
        <x:v>0.06</x:v>
      </x:c>
      <x:c r="G16" s="88" t="n">
        <x:v>0.06</x:v>
      </x:c>
      <x:c r="H16" s="88" t="n">
        <x:v>0.07</x:v>
      </x:c>
      <x:c r="I16" s="88" t="n">
        <x:v>0.07</x:v>
      </x:c>
      <x:c r="J16" s="88" t="n">
        <x:v>0.08</x:v>
      </x:c>
      <x:c r="K16" s="88" t="n">
        <x:v>0.08</x:v>
      </x:c>
      <x:c r="L16" s="88" t="n">
        <x:v>0.1</x:v>
      </x:c>
      <x:c r="M16" s="88" t="n">
        <x:v>0.1</x:v>
      </x:c>
      <x:c r="N16" s="65" t="str"/>
    </x:row>
    <x:row r="17" ht="15" hidden="0" customHeight="1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N1"/>
  </x:mergeCells>
  <x:conditionalFormatting sqref="B13:N13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7.130000114440918" hidden="0" customWidth="1"/>
    <x:col min="10" max="10" width="11.130000114440918" hidden="0" customWidth="1"/>
    <x:col min="11" max="11" width="12.130000114440918" hidden="0" customWidth="1"/>
  </x:cols>
  <x:sheetData>
    <x:row r="1" ht="15" hidden="0" customHeight="1">
      <x:c r="A1" s="64" t="str">
        <x:v>Scenario Comparison - Gross Revenue to Mission Left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Scenario</x:v>
      </x:c>
      <x:c r="B3" s="86" t="str">
        <x:v>Gross</x:v>
      </x:c>
      <x:c r="C3" s="86" t="str">
        <x:v>Distributor</x:v>
      </x:c>
      <x:c r="D3" s="86" t="str">
        <x:v>Direct Expenses</x:v>
      </x:c>
      <x:c r="E3" s="86" t="str">
        <x:v>CGN Payroll</x:v>
      </x:c>
      <x:c r="F3" s="86" t="str">
        <x:v>VMP Contract</x:v>
      </x:c>
      <x:c r="G3" s="86" t="str">
        <x:v>Mission Left</x:v>
      </x:c>
      <x:c r="H3" s="86" t="str">
        <x:v>Mission % Gross</x:v>
      </x:c>
      <x:c r="I3" s="86" t="str">
        <x:v>Adj Gross</x:v>
      </x:c>
      <x:c r="J3" s="86" t="str">
        <x:v>40% Target</x:v>
      </x:c>
      <x:c r="K3" s="86" t="str">
        <x:v>Above/Below</x:v>
      </x:c>
      <x:c r="L3" s="65"/>
      <x:c r="M3" s="65"/>
      <x:c r="N3" s="65"/>
    </x:row>
    <x:row r="4" ht="15" hidden="0" customHeight="1">
      <x:c r="A4" s="65" t="str">
        <x:v>Low</x:v>
      </x:c>
      <x:c r="B4" s="73" t="n">
        <x:f>VLOOKUP(A4,Inputs!$A$4:$K$8,2,FALSE)</x:f>
        <x:v>150000</x:v>
      </x:c>
      <x:c r="C4" s="73" t="n">
        <x:f>B4*VLOOKUP(A4,Inputs!$A$4:$K$8,3,FALSE)</x:f>
        <x:v>60000</x:v>
      </x:c>
      <x:c r="D4" s="73" t="n">
        <x:f>VLOOKUP(A4,Inputs!$A$4:$K$8,5,FALSE)+VLOOKUP(A4,Inputs!$A$4:$K$8,6,FALSE)+VLOOKUP(A4,Inputs!$A$4:$K$8,7,FALSE)+VLOOKUP(A4,Inputs!$A$4:$K$8,8,FALSE)+VLOOKUP(A4,Inputs!$A$4:$K$8,9,FALSE)+VLOOKUP(A4,Inputs!$A$4:$K$8,10,FALSE)+VLOOKUP(A4,Inputs!$A$4:$K$8,11,FALSE)+2450</x:f>
        <x:v>11800</x:v>
      </x:c>
      <x:c r="E4" s="73" t="n">
        <x:f>SUM(Payroll!$G$4:$G$12)</x:f>
        <x:v>14100</x:v>
      </x:c>
      <x:c r="F4" s="73" t="n">
        <x:f>VLOOKUP(A4,Inputs!$A$4:$K$8,4,FALSE)</x:f>
        <x:v>10000</x:v>
      </x:c>
      <x:c r="G4" s="73" t="n">
        <x:f>B4-C4-D4-E4-F4</x:f>
        <x:v>54100</x:v>
      </x:c>
      <x:c r="H4" s="98" t="n">
        <x:f>IFERROR(G4/B4,0)</x:f>
        <x:v>0.3606666666666667</x:v>
      </x:c>
      <x:c r="I4" s="73" t="n">
        <x:f>B4*Inputs!$B$30</x:f>
        <x:v>90000</x:v>
      </x:c>
      <x:c r="J4" s="73" t="n">
        <x:f>I4*Inputs!$B$31</x:f>
        <x:v>36000</x:v>
      </x:c>
      <x:c r="K4" s="73" t="n">
        <x:f>G4-J4</x:f>
        <x:v>18100</x:v>
      </x:c>
      <x:c r="L4" s="65"/>
      <x:c r="M4" s="65"/>
      <x:c r="N4" s="65"/>
    </x:row>
    <x:row r="5" ht="15" hidden="0" customHeight="1">
      <x:c r="A5" s="65" t="str">
        <x:v>Base</x:v>
      </x:c>
      <x:c r="B5" s="73" t="n">
        <x:f>VLOOKUP(A5,Inputs!$A$4:$K$8,2,FALSE)</x:f>
        <x:v>200000</x:v>
      </x:c>
      <x:c r="C5" s="73" t="n">
        <x:f>B5*VLOOKUP(A5,Inputs!$A$4:$K$8,3,FALSE)</x:f>
        <x:v>80000</x:v>
      </x:c>
      <x:c r="D5" s="73" t="n">
        <x:f>VLOOKUP(A5,Inputs!$A$4:$K$8,5,FALSE)+VLOOKUP(A5,Inputs!$A$4:$K$8,6,FALSE)+VLOOKUP(A5,Inputs!$A$4:$K$8,7,FALSE)+VLOOKUP(A5,Inputs!$A$4:$K$8,8,FALSE)+VLOOKUP(A5,Inputs!$A$4:$K$8,9,FALSE)+VLOOKUP(A5,Inputs!$A$4:$K$8,10,FALSE)+VLOOKUP(A5,Inputs!$A$4:$K$8,11,FALSE)+2450</x:f>
        <x:v>12000</x:v>
      </x:c>
      <x:c r="E5" s="73" t="n">
        <x:f>SUM(Payroll!$G$4:$G$12)</x:f>
        <x:v>14100</x:v>
      </x:c>
      <x:c r="F5" s="73" t="n">
        <x:f>VLOOKUP(A5,Inputs!$A$4:$K$8,4,FALSE)</x:f>
        <x:v>15000</x:v>
      </x:c>
      <x:c r="G5" s="73" t="n">
        <x:f>B5-C5-D5-E5-F5</x:f>
        <x:v>78900</x:v>
      </x:c>
      <x:c r="H5" s="98" t="n">
        <x:f>IFERROR(G5/B5,0)</x:f>
        <x:v>0.3945</x:v>
      </x:c>
      <x:c r="I5" s="73" t="n">
        <x:f>B5*Inputs!$B$30</x:f>
        <x:v>120000</x:v>
      </x:c>
      <x:c r="J5" s="73" t="n">
        <x:f>I5*Inputs!$B$31</x:f>
        <x:v>48000</x:v>
      </x:c>
      <x:c r="K5" s="73" t="n">
        <x:f>G5-J5</x:f>
        <x:v>30900</x:v>
      </x:c>
      <x:c r="L5" s="65"/>
      <x:c r="M5" s="65"/>
      <x:c r="N5" s="65"/>
    </x:row>
    <x:row r="6" ht="15" hidden="0" customHeight="1">
      <x:c r="A6" s="65" t="str">
        <x:v>High</x:v>
      </x:c>
      <x:c r="B6" s="73" t="n">
        <x:f>VLOOKUP(A6,Inputs!$A$4:$K$8,2,FALSE)</x:f>
        <x:v>250000</x:v>
      </x:c>
      <x:c r="C6" s="73" t="n">
        <x:f>B6*VLOOKUP(A6,Inputs!$A$4:$K$8,3,FALSE)</x:f>
        <x:v>100000</x:v>
      </x:c>
      <x:c r="D6" s="73" t="n">
        <x:f>VLOOKUP(A6,Inputs!$A$4:$K$8,5,FALSE)+VLOOKUP(A6,Inputs!$A$4:$K$8,6,FALSE)+VLOOKUP(A6,Inputs!$A$4:$K$8,7,FALSE)+VLOOKUP(A6,Inputs!$A$4:$K$8,8,FALSE)+VLOOKUP(A6,Inputs!$A$4:$K$8,9,FALSE)+VLOOKUP(A6,Inputs!$A$4:$K$8,10,FALSE)+VLOOKUP(A6,Inputs!$A$4:$K$8,11,FALSE)+2450</x:f>
        <x:v>13850</x:v>
      </x:c>
      <x:c r="E6" s="73" t="n">
        <x:f>SUM(Payroll!$G$4:$G$12)</x:f>
        <x:v>14100</x:v>
      </x:c>
      <x:c r="F6" s="73" t="n">
        <x:f>VLOOKUP(A6,Inputs!$A$4:$K$8,4,FALSE)</x:f>
        <x:v>22000</x:v>
      </x:c>
      <x:c r="G6" s="73" t="n">
        <x:f>B6-C6-D6-E6-F6</x:f>
        <x:v>100050</x:v>
      </x:c>
      <x:c r="H6" s="98" t="n">
        <x:f>IFERROR(G6/B6,0)</x:f>
        <x:v>0.4002</x:v>
      </x:c>
      <x:c r="I6" s="73" t="n">
        <x:f>B6*Inputs!$B$30</x:f>
        <x:v>150000</x:v>
      </x:c>
      <x:c r="J6" s="73" t="n">
        <x:f>I6*Inputs!$B$31</x:f>
        <x:v>60000</x:v>
      </x:c>
      <x:c r="K6" s="73" t="n">
        <x:f>G6-J6</x:f>
        <x:v>40050</x:v>
      </x:c>
      <x:c r="L6" s="65"/>
      <x:c r="M6" s="65"/>
      <x:c r="N6" s="65"/>
    </x:row>
    <x:row r="7" ht="15" hidden="0" customHeight="1">
      <x:c r="A7" s="65" t="str">
        <x:v>Best</x:v>
      </x:c>
      <x:c r="B7" s="73" t="n">
        <x:f>VLOOKUP(A7,Inputs!$A$4:$K$8,2,FALSE)</x:f>
        <x:v>300000</x:v>
      </x:c>
      <x:c r="C7" s="73" t="n">
        <x:f>B7*VLOOKUP(A7,Inputs!$A$4:$K$8,3,FALSE)</x:f>
        <x:v>120000</x:v>
      </x:c>
      <x:c r="D7" s="73" t="n">
        <x:f>VLOOKUP(A7,Inputs!$A$4:$K$8,5,FALSE)+VLOOKUP(A7,Inputs!$A$4:$K$8,6,FALSE)+VLOOKUP(A7,Inputs!$A$4:$K$8,7,FALSE)+VLOOKUP(A7,Inputs!$A$4:$K$8,8,FALSE)+VLOOKUP(A7,Inputs!$A$4:$K$8,9,FALSE)+VLOOKUP(A7,Inputs!$A$4:$K$8,10,FALSE)+VLOOKUP(A7,Inputs!$A$4:$K$8,11,FALSE)+2450</x:f>
        <x:v>15650</x:v>
      </x:c>
      <x:c r="E7" s="73" t="n">
        <x:f>SUM(Payroll!$G$4:$G$12)</x:f>
        <x:v>14100</x:v>
      </x:c>
      <x:c r="F7" s="73" t="n">
        <x:f>VLOOKUP(A7,Inputs!$A$4:$K$8,4,FALSE)</x:f>
        <x:v>30000</x:v>
      </x:c>
      <x:c r="G7" s="73" t="n">
        <x:f>B7-C7-D7-E7-F7</x:f>
        <x:v>120250</x:v>
      </x:c>
      <x:c r="H7" s="98" t="n">
        <x:f>IFERROR(G7/B7,0)</x:f>
        <x:v>0.4008333333333333</x:v>
      </x:c>
      <x:c r="I7" s="73" t="n">
        <x:f>B7*Inputs!$B$30</x:f>
        <x:v>180000</x:v>
      </x:c>
      <x:c r="J7" s="73" t="n">
        <x:f>I7*Inputs!$B$31</x:f>
        <x:v>72000</x:v>
      </x:c>
      <x:c r="K7" s="73" t="n">
        <x:f>G7-J7</x:f>
        <x:v>48250</x:v>
      </x:c>
      <x:c r="L7" s="65"/>
      <x:c r="M7" s="65"/>
      <x:c r="N7" s="65"/>
    </x:row>
    <x:row r="8" ht="15" hidden="0" customHeight="1">
      <x:c r="A8" s="65" t="str">
        <x:v>Custom</x:v>
      </x:c>
      <x:c r="B8" s="73" t="n">
        <x:f>VLOOKUP(A8,Inputs!$A$4:$K$8,2,FALSE)</x:f>
        <x:v>200000</x:v>
      </x:c>
      <x:c r="C8" s="73" t="n">
        <x:f>B8*VLOOKUP(A8,Inputs!$A$4:$K$8,3,FALSE)</x:f>
        <x:v>80000</x:v>
      </x:c>
      <x:c r="D8" s="73" t="n">
        <x:f>VLOOKUP(A8,Inputs!$A$4:$K$8,5,FALSE)+VLOOKUP(A8,Inputs!$A$4:$K$8,6,FALSE)+VLOOKUP(A8,Inputs!$A$4:$K$8,7,FALSE)+VLOOKUP(A8,Inputs!$A$4:$K$8,8,FALSE)+VLOOKUP(A8,Inputs!$A$4:$K$8,9,FALSE)+VLOOKUP(A8,Inputs!$A$4:$K$8,10,FALSE)+VLOOKUP(A8,Inputs!$A$4:$K$8,11,FALSE)+2450</x:f>
        <x:v>12000</x:v>
      </x:c>
      <x:c r="E8" s="73" t="n">
        <x:f>SUM(Payroll!$G$4:$G$12)</x:f>
        <x:v>14100</x:v>
      </x:c>
      <x:c r="F8" s="73" t="n">
        <x:f>VLOOKUP(A8,Inputs!$A$4:$K$8,4,FALSE)</x:f>
        <x:v>15000</x:v>
      </x:c>
      <x:c r="G8" s="73" t="n">
        <x:f>B8-C8-D8-E8-F8</x:f>
        <x:v>78900</x:v>
      </x:c>
      <x:c r="H8" s="98" t="n">
        <x:f>IFERROR(G8/B8,0)</x:f>
        <x:v>0.3945</x:v>
      </x:c>
      <x:c r="I8" s="73" t="n">
        <x:f>B8*Inputs!$B$30</x:f>
        <x:v>120000</x:v>
      </x:c>
      <x:c r="J8" s="73" t="n">
        <x:f>I8*Inputs!$B$31</x:f>
        <x:v>48000</x:v>
      </x:c>
      <x:c r="K8" s="73" t="n">
        <x:f>G8-J8</x:f>
        <x:v>30900</x:v>
      </x:c>
      <x:c r="L8" s="65"/>
      <x:c r="M8" s="65"/>
      <x:c r="N8" s="65"/>
    </x:row>
    <x:row r="9" ht="15" hidden="0" customHeight="1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</x:row>
    <x:row r="10" ht="15" hidden="0" customHeight="1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</x:row>
    <x:row r="11" ht="15" hidden="0" customHeight="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 ht="15" hidden="0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</x:row>
    <x:row r="13" ht="15" hidden="0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</x:row>
    <x:row r="14" ht="15" hidden="0" customHeight="1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66e808a2b5f94b45"/>
  <x:tableParts count="1">
    <x:tablePart xmlns:r="http://schemas.openxmlformats.org/officeDocument/2006/relationships" r:id="R2cb2457fb8174c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</x:cols>
  <x:sheetData>
    <x:row r="1" ht="15" hidden="0" customHeight="1">
      <x:c r="A1" s="64" t="str">
        <x:v>Money Flow Map - Monthly Gross to Contracts to Paychecks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Step</x:v>
      </x:c>
      <x:c r="B3" s="86" t="str">
        <x:v>Money Source</x:v>
      </x:c>
      <x:c r="C3" s="86" t="str">
        <x:v>Payment / Transfer</x:v>
      </x:c>
      <x:c r="D3" s="86" t="str">
        <x:v>Recipient</x:v>
      </x:c>
      <x:c r="E3" s="86" t="str">
        <x:v>Example Monthly Amount</x:v>
      </x:c>
      <x:c r="F3" s="86" t="str">
        <x:v>Purpose</x:v>
      </x:c>
      <x:c r="G3" s="65"/>
      <x:c r="H3" s="65"/>
      <x:c r="I3" s="65"/>
      <x:c r="J3" s="65"/>
      <x:c r="K3" s="65"/>
      <x:c r="L3" s="65"/>
      <x:c r="M3" s="65"/>
      <x:c r="N3" s="65"/>
    </x:row>
    <x:row r="4" ht="15" hidden="0" customHeight="1">
      <x:c r="A4" s="65" t="n">
        <x:v>1</x:v>
      </x:c>
      <x:c r="B4" s="65" t="str">
        <x:v>Players</x:v>
      </x:c>
      <x:c r="C4" s="65" t="str">
        <x:v>Electronic pulltab purchases</x:v>
      </x:c>
      <x:c r="D4" s="65" t="str">
        <x:v>Common Good Network Gaming Account</x:v>
      </x:c>
      <x:c r="E4" s="70" t="n">
        <x:f>Dashboard!B5</x:f>
        <x:v>200000</x:v>
      </x:c>
      <x:c r="F4" s="65" t="str">
        <x:v>Gross gaming revenue</x:v>
      </x:c>
      <x:c r="G4" s="65"/>
      <x:c r="H4" s="65"/>
      <x:c r="I4" s="65"/>
      <x:c r="J4" s="65"/>
      <x:c r="K4" s="65"/>
      <x:c r="L4" s="65"/>
      <x:c r="M4" s="65"/>
      <x:c r="N4" s="65"/>
    </x:row>
    <x:row r="5" ht="15" hidden="0" customHeight="1">
      <x:c r="A5" s="65" t="n">
        <x:v>2</x:v>
      </x:c>
      <x:c r="B5" s="65" t="str">
        <x:v>CGN Gaming Account</x:v>
      </x:c>
      <x:c r="C5" s="65" t="str">
        <x:v>Distributor / Arrow share</x:v>
      </x:c>
      <x:c r="D5" s="65" t="str">
        <x:v>Arrow / distributor</x:v>
      </x:c>
      <x:c r="E5" s="70" t="n">
        <x:f>Dashboard!B6</x:f>
        <x:v>80000</x:v>
      </x:c>
      <x:c r="F5" s="65" t="str">
        <x:v>Gaming system/supply cost</x:v>
      </x:c>
      <x:c r="G5" s="65"/>
      <x:c r="H5" s="65"/>
      <x:c r="I5" s="65"/>
      <x:c r="J5" s="65"/>
      <x:c r="K5" s="65"/>
      <x:c r="L5" s="65"/>
      <x:c r="M5" s="65"/>
      <x:c r="N5" s="65"/>
    </x:row>
    <x:row r="6" ht="15" hidden="0" customHeight="1">
      <x:c r="A6" s="65" t="n">
        <x:v>3</x:v>
      </x:c>
      <x:c r="B6" s="65" t="str">
        <x:v>CGN Gaming Account</x:v>
      </x:c>
      <x:c r="C6" s="65" t="str">
        <x:v>Direct operating expenses</x:v>
      </x:c>
      <x:c r="D6" s="65" t="str">
        <x:v>Landlord, utilities, vendors</x:v>
      </x:c>
      <x:c r="E6" s="70" t="n">
        <x:f>Dashboard!B7</x:f>
        <x:v>12500</x:v>
      </x:c>
      <x:c r="F6" s="65" t="str">
        <x:v>Facility and operating costs</x:v>
      </x:c>
      <x:c r="G6" s="65"/>
      <x:c r="H6" s="65"/>
      <x:c r="I6" s="65"/>
      <x:c r="J6" s="65"/>
      <x:c r="K6" s="65"/>
      <x:c r="L6" s="65"/>
      <x:c r="M6" s="65"/>
      <x:c r="N6" s="65"/>
    </x:row>
    <x:row r="7" ht="15" hidden="0" customHeight="1">
      <x:c r="A7" s="65" t="n">
        <x:v>4</x:v>
      </x:c>
      <x:c r="B7" s="65" t="str">
        <x:v>CGN Gaming Account</x:v>
      </x:c>
      <x:c r="C7" s="65" t="str">
        <x:v>CGN payroll</x:v>
      </x:c>
      <x:c r="D7" s="65" t="str">
        <x:v>CGN employees / workers</x:v>
      </x:c>
      <x:c r="E7" s="70" t="n">
        <x:f>Dashboard!B8</x:f>
        <x:v>14100</x:v>
      </x:c>
      <x:c r="F7" s="65" t="str">
        <x:v>Attendants and approved CGN work</x:v>
      </x:c>
      <x:c r="G7" s="65"/>
      <x:c r="H7" s="65"/>
      <x:c r="I7" s="65"/>
      <x:c r="J7" s="65"/>
      <x:c r="K7" s="65"/>
      <x:c r="L7" s="65"/>
      <x:c r="M7" s="65"/>
      <x:c r="N7" s="65"/>
    </x:row>
    <x:row r="8" ht="15" hidden="0" customHeight="1">
      <x:c r="A8" s="65" t="n">
        <x:v>5</x:v>
      </x:c>
      <x:c r="B8" s="65" t="str">
        <x:v>CGN Gaming Account</x:v>
      </x:c>
      <x:c r="C8" s="65" t="str">
        <x:v>Service agreement</x:v>
      </x:c>
      <x:c r="D8" s="65" t="str">
        <x:v>VMP</x:v>
      </x:c>
      <x:c r="E8" s="70" t="n">
        <x:f>Dashboard!B9</x:f>
        <x:v>15000</x:v>
      </x:c>
      <x:c r="F8" s="65" t="str">
        <x:v>Business operations support</x:v>
      </x:c>
      <x:c r="G8" s="65"/>
      <x:c r="H8" s="65"/>
      <x:c r="I8" s="65"/>
      <x:c r="J8" s="65"/>
      <x:c r="K8" s="65"/>
      <x:c r="L8" s="65"/>
      <x:c r="M8" s="65"/>
      <x:c r="N8" s="65"/>
    </x:row>
    <x:row r="9" ht="15" hidden="0" customHeight="1">
      <x:c r="A9" s="65" t="n">
        <x:v>6</x:v>
      </x:c>
      <x:c r="B9" s="65" t="str">
        <x:v>VMP</x:v>
      </x:c>
      <x:c r="C9" s="65" t="str">
        <x:v>VMP payroll/contractors</x:v>
      </x:c>
      <x:c r="D9" s="65" t="str">
        <x:v>Lauren, Matthew, Mandy, vendors</x:v>
      </x:c>
      <x:c r="E9" s="70" t="n">
        <x:f>SUM('VMP Service Contract'!G4:G12)</x:f>
        <x:v>14750</x:v>
      </x:c>
      <x:c r="F9" s="65" t="str">
        <x:v>Admin, marketing, IT, business support</x:v>
      </x:c>
      <x:c r="G9" s="65"/>
      <x:c r="H9" s="65"/>
      <x:c r="I9" s="65"/>
      <x:c r="J9" s="65"/>
      <x:c r="K9" s="65"/>
      <x:c r="L9" s="65"/>
      <x:c r="M9" s="65"/>
      <x:c r="N9" s="65"/>
    </x:row>
    <x:row r="10" ht="15" hidden="0" customHeight="1">
      <x:c r="A10" s="65" t="n">
        <x:v>7</x:v>
      </x:c>
      <x:c r="B10" s="65" t="str">
        <x:v>CGN</x:v>
      </x:c>
      <x:c r="C10" s="65" t="str">
        <x:v>Mission/reserve funds</x:v>
      </x:c>
      <x:c r="D10" s="65" t="str">
        <x:v>CGN mission, reserve, expansion</x:v>
      </x:c>
      <x:c r="E10" s="70" t="n">
        <x:f>Dashboard!B10</x:f>
        <x:v>78400</x:v>
      </x:c>
      <x:c r="F10" s="65" t="str">
        <x:v>Charitable mission and growth</x:v>
      </x:c>
      <x:c r="G10" s="65"/>
      <x:c r="H10" s="65"/>
      <x:c r="I10" s="65"/>
      <x:c r="J10" s="65"/>
      <x:c r="K10" s="65"/>
      <x:c r="L10" s="65"/>
      <x:c r="M10" s="65"/>
      <x:c r="N10" s="65"/>
    </x:row>
    <x:row r="11" ht="15" hidden="0" customHeight="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 ht="15" hidden="0" customHeight="1">
      <x:c r="A12" s="66" t="str">
        <x:v>Plain-English Rule</x:v>
      </x:c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</x:row>
    <x:row r="13" ht="15" hidden="0" customHeight="1">
      <x:c r="A13" s="100" t="str">
        <x:v>CGN receives gaming revenue. CGN pays allowable costs, payroll, and approved contracts. VMP receives a service contract for business support, then pays its own workers/contractors.</x:v>
      </x:c>
      <x:c r="B13" s="100" t="str"/>
      <x:c r="C13" s="100" t="str"/>
      <x:c r="D13" s="100" t="str"/>
      <x:c r="E13" s="100" t="str"/>
      <x:c r="F13" s="100" t="str"/>
      <x:c r="G13" s="65"/>
      <x:c r="H13" s="65"/>
      <x:c r="I13" s="65"/>
      <x:c r="J13" s="65"/>
      <x:c r="K13" s="65"/>
      <x:c r="L13" s="65"/>
      <x:c r="M13" s="65"/>
      <x:c r="N13" s="65"/>
    </x:row>
    <x:row r="14" ht="15" hidden="0" customHeight="1">
      <x:c r="A14" s="100" t="str">
        <x:v>The workbook is a planning tool. Attorney/CPA should review final service agreements, payroll treatment, nonprofit compensation approvals, and Kentucky charitable gaming treatment.</x:v>
      </x:c>
      <x:c r="B14" s="100" t="str"/>
      <x:c r="C14" s="100" t="str"/>
      <x:c r="D14" s="100" t="str"/>
      <x:c r="E14" s="100" t="str"/>
      <x:c r="F14" s="100" t="str"/>
      <x:c r="G14" s="65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100" t="str"/>
      <x:c r="B15" s="100" t="str"/>
      <x:c r="C15" s="100" t="str"/>
      <x:c r="D15" s="100" t="str"/>
      <x:c r="E15" s="100" t="str"/>
      <x:c r="F15" s="100" t="str"/>
      <x:c r="G15" s="65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100" t="str">
        <x:v>Important: Yellow cells are assumptions. Blue cells are formulas.</x:v>
      </x:c>
      <x:c r="B16" s="100" t="str"/>
      <x:c r="C16" s="100" t="str"/>
      <x:c r="D16" s="100" t="str"/>
      <x:c r="E16" s="100" t="str"/>
      <x:c r="F16" s="100" t="str"/>
      <x:c r="G16" s="65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 t="str"/>
      <x:c r="B17" s="65" t="str"/>
      <x:c r="C17" s="65" t="str"/>
      <x:c r="D17" s="65" t="str"/>
      <x:c r="E17" s="65" t="str"/>
      <x:c r="F17" s="65" t="str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</x:cols>
  <x:sheetData>
    <x:row r="1" ht="15" hidden="0" customHeight="1">
      <x:c r="A1" s="64" t="str">
        <x:v>Sources &amp; Review Notes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15" hidden="0" customHeight="1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 ht="15" hidden="0" customHeight="1">
      <x:c r="A3" s="86" t="str">
        <x:v>Topic</x:v>
      </x:c>
      <x:c r="B3" s="86" t="str">
        <x:v>Source / Basis</x:v>
      </x:c>
      <x:c r="C3" s="86" t="str">
        <x:v>Workbook Use</x:v>
      </x:c>
      <x:c r="D3" s="86" t="str">
        <x:v>Review Needed</x:v>
      </x:c>
      <x:c r="E3" s="65"/>
      <x:c r="F3" s="65"/>
      <x:c r="G3" s="65"/>
      <x:c r="H3" s="65"/>
      <x:c r="I3" s="65"/>
      <x:c r="J3" s="65"/>
      <x:c r="K3" s="65"/>
      <x:c r="L3" s="65"/>
      <x:c r="M3" s="65"/>
      <x:c r="N3" s="65"/>
    </x:row>
    <x:row r="4" ht="15" hidden="0" customHeight="1">
      <x:c r="A4" s="100" t="str">
        <x:v>Kentucky charitable gaming rules</x:v>
      </x:c>
      <x:c r="B4" s="100" t="str">
        <x:v>2025 DCG Training Manual / KRS Chapter 238 / 820 KAR Chapter 1</x:v>
      </x:c>
      <x:c r="C4" s="100" t="str">
        <x:v>Used to flag chairperson and compensation separation issues</x:v>
      </x:c>
      <x:c r="D4" s="100" t="str">
        <x:v>Attorney review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</x:row>
    <x:row r="5" ht="15" hidden="0" customHeight="1">
      <x:c r="A5" s="100" t="str">
        <x:v>40% retention planning</x:v>
      </x:c>
      <x:c r="B5" s="100" t="str">
        <x:v>KRS 238.536 and DCG Training Manual discussion of retention requirement</x:v>
      </x:c>
      <x:c r="C5" s="100" t="str">
        <x:v>Planning calculator only; actual calculation should be confirmed</x:v>
      </x:c>
      <x:c r="D5" s="100" t="str">
        <x:v>CPA / attorney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</x:row>
    <x:row r="6" ht="15" hidden="0" customHeight="1">
      <x:c r="A6" s="100" t="str">
        <x:v>Gaming account and expenses</x:v>
      </x:c>
      <x:c r="B6" s="100" t="str">
        <x:v>KRS 238.550 and 820 KAR 1:057 recordkeeping/expense framework</x:v>
      </x:c>
      <x:c r="C6" s="100" t="str">
        <x:v>Expense categories and account flow</x:v>
      </x:c>
      <x:c r="D6" s="100" t="str">
        <x:v>CPA / attorney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</x:row>
    <x:row r="7" ht="15" hidden="0" customHeight="1">
      <x:c r="A7" s="100" t="str">
        <x:v>No legal opinion</x:v>
      </x:c>
      <x:c r="B7" s="100" t="str">
        <x:v>This workbook is a management planning model</x:v>
      </x:c>
      <x:c r="C7" s="100" t="str">
        <x:v>Do not treat as final compliance approval</x:v>
      </x:c>
      <x:c r="D7" s="100" t="str">
        <x:v>Counsel to approve final structure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</x:row>
    <x:row r="8" ht="15" hidden="0" customHeight="1">
      <x:c r="A8" s="100" t="str">
        <x:v>Service contracts</x:v>
      </x:c>
      <x:c r="B8" s="100" t="str">
        <x:v>Proposed VMP service agreement model</x:v>
      </x:c>
      <x:c r="C8" s="100" t="str">
        <x:v>Shows money flow from CGN to VMP and then to workers/vendors</x:v>
      </x:c>
      <x:c r="D8" s="100" t="str">
        <x:v>Attorney review</x:v>
      </x:c>
      <x:c r="E8" s="65"/>
      <x:c r="F8" s="65"/>
      <x:c r="G8" s="65"/>
      <x:c r="H8" s="65"/>
      <x:c r="I8" s="65"/>
      <x:c r="J8" s="65"/>
      <x:c r="K8" s="65"/>
      <x:c r="L8" s="65"/>
      <x:c r="M8" s="65"/>
      <x:c r="N8" s="65"/>
    </x:row>
    <x:row r="9" ht="15" hidden="0" customHeight="1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</x:row>
    <x:row r="10" ht="15" hidden="0" customHeight="1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</x:row>
    <x:row r="11" ht="15" hidden="0" customHeight="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</x:row>
    <x:row r="12" ht="15" hidden="0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</x:row>
    <x:row r="13" ht="15" hidden="0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</x:row>
    <x:row r="14" ht="15" hidden="0" customHeight="1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</x:row>
    <x:row r="15" ht="15" hidden="0" customHeight="1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</x:row>
    <x:row r="16" ht="15" hidden="0" customHeight="1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</x:row>
    <x:row r="17" ht="15" hidden="0" customHeight="1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 ht="15" hidden="0" customHeight="1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</x:row>
    <x:row r="19" ht="15" hidden="0" customHeight="1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</x:row>
    <x:row r="20" ht="15" hidden="0" customHeight="1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</x:row>
    <x:row r="21" ht="15" hidden="0" customHeight="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</x:row>
    <x:row r="22" ht="15" hidden="0" customHeight="1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</x:row>
    <x:row r="23" ht="15" hidden="0" customHeight="1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</x:row>
    <x:row r="24" ht="15" hidden="0" customHeight="1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</x:row>
    <x:row r="25" ht="15" hidden="0" customHeight="1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</x:row>
    <x:row r="26" ht="15" hidden="0" customHeight="1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</x:row>
    <x:row r="27" ht="15" hidden="0" customHeight="1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</x:row>
    <x:row r="28" ht="15" hidden="0" customHeight="1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</x:row>
    <x:row r="29" ht="15" hidden="0" customHeight="1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</x:row>
    <x:row r="30" ht="15" hidden="0" customHeight="1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</x:row>
    <x:row r="31" ht="15" hidden="0" customHeight="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</x:row>
    <x:row r="32" ht="15" hidden="0" customHeight="1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</x:row>
    <x:row r="33" ht="15" hidden="0" customHeight="1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</x:row>
    <x:row r="34" ht="15" hidden="0" customHeight="1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</x:row>
    <x:row r="35" ht="15" hidden="0" customHeight="1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</x:row>
    <x:row r="36" ht="15" hidden="0" customHeight="1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</x:row>
    <x:row r="37" ht="15" hidden="0" customHeight="1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</x:row>
    <x:row r="38" ht="15" hidden="0" customHeight="1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</x:row>
    <x:row r="39" ht="15" hidden="0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</x:row>
    <x:row r="40" ht="15" hidden="0" customHeight="1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</x:row>
  </x:sheetData>
  <x:mergeCells>
    <x:mergeCell ref="A1:D1"/>
  </x:mergeCells>
  <x:pageMargins left="0.7" right="0.7" top="0.75" bottom="0.75" header="0.3" footer="0.3"/>
</x:worksheet>
</file>