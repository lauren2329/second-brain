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ource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Runway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444444"/>
      <sz val="9"/>
    </font>
    <font>
      <name val="Arial"/>
      <b val="1"/>
      <color rgb="00000000"/>
    </font>
    <font>
      <name val="Arial"/>
      <color rgb="00008000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AEAEA"/>
      </patternFill>
    </fill>
    <fill>
      <patternFill patternType="solid">
        <fgColor rgb="00D6E8D9"/>
      </patternFill>
    </fill>
    <fill>
      <patternFill patternType="solid">
        <fgColor rgb="00C6EFCE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3" borderId="0" pivotButton="0" quotePrefix="0" xfId="0"/>
    <xf numFmtId="164" fontId="7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0" fontId="7" fillId="0" borderId="0" pivotButton="0" quotePrefix="0" xfId="0"/>
    <xf numFmtId="164" fontId="7" fillId="5" borderId="0" pivotButton="0" quotePrefix="0" xfId="0"/>
    <xf numFmtId="0" fontId="2" fillId="0" borderId="0" applyAlignment="1" pivotButton="0" quotePrefix="0" xfId="0">
      <alignment wrapText="1"/>
    </xf>
    <xf numFmtId="0" fontId="7" fillId="4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6" borderId="0" pivotButton="0" quotePrefix="0" xfId="0"/>
    <xf numFmtId="165" fontId="5" fillId="6" borderId="1" pivotButton="0" quotePrefix="0" xfId="0"/>
    <xf numFmtId="164" fontId="4" fillId="0" borderId="1" pivotButton="0" quotePrefix="0" xfId="0"/>
    <xf numFmtId="164" fontId="7" fillId="3" borderId="1" pivotButton="0" quotePrefix="0" xfId="0"/>
    <xf numFmtId="0" fontId="0" fillId="0" borderId="4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6" customWidth="1" min="4" max="4"/>
    <col width="20" customWidth="1" min="5" max="5"/>
    <col width="40" customWidth="1" min="6" max="6"/>
  </cols>
  <sheetData>
    <row r="1" ht="24" customHeight="1">
      <c r="A1" s="1" t="inlineStr">
        <is>
          <t>THE GOLDEN DOOR — FUNDING SOURCES</t>
        </is>
      </c>
    </row>
    <row r="2">
      <c r="A2" s="3" t="inlineStr">
        <is>
          <t>Legend: blue = hardcoded input · yellow = fill in / update as terms firm up · black = formula</t>
        </is>
      </c>
    </row>
    <row r="4">
      <c r="A4" s="4" t="inlineStr">
        <is>
          <t>Source</t>
        </is>
      </c>
      <c r="B4" s="4" t="inlineStr">
        <is>
          <t>Amount</t>
        </is>
      </c>
      <c r="C4" s="4" t="inlineStr">
        <is>
          <t>Type</t>
        </is>
      </c>
      <c r="D4" s="4" t="inlineStr">
        <is>
          <t>Commitment</t>
        </is>
      </c>
      <c r="E4" s="4" t="inlineStr">
        <is>
          <t>Usable pre-opening?</t>
        </is>
      </c>
      <c r="F4" s="4" t="inlineStr">
        <is>
          <t>Timing / notes</t>
        </is>
      </c>
    </row>
    <row r="5" ht="30" customHeight="1">
      <c r="A5" s="5" t="inlineStr">
        <is>
          <t>Harry</t>
        </is>
      </c>
      <c r="B5" s="6" t="n">
        <v>50000</v>
      </c>
      <c r="C5" s="5" t="inlineStr">
        <is>
          <t>Cash</t>
        </is>
      </c>
      <c r="D5" s="5" t="inlineStr">
        <is>
          <t>Hard commit</t>
        </is>
      </c>
      <c r="E5" s="5" t="inlineStr">
        <is>
          <t>Yes</t>
        </is>
      </c>
      <c r="F5" s="7" t="inlineStr">
        <is>
          <t>Confirmed available now — the only unrestricted, no-strings source</t>
        </is>
      </c>
    </row>
    <row r="6" ht="30" customHeight="1">
      <c r="A6" s="5" t="inlineStr">
        <is>
          <t>Jeremy (personal loan)</t>
        </is>
      </c>
      <c r="B6" s="6" t="n">
        <v>35000</v>
      </c>
      <c r="C6" s="5" t="inlineStr">
        <is>
          <t>Cash</t>
        </is>
      </c>
      <c r="D6" s="5" t="inlineStr">
        <is>
          <t>Soft commit</t>
        </is>
      </c>
      <c r="E6" s="5" t="inlineStr">
        <is>
          <t>No — excluded</t>
        </is>
      </c>
      <c r="F6" s="7" t="inlineStr">
        <is>
          <t>Not guaranteed; treat as pipeline/upside until confirmed, not secured funding</t>
        </is>
      </c>
    </row>
    <row r="7" ht="30" customHeight="1">
      <c r="A7" s="5" t="inlineStr">
        <is>
          <t>Arrow — Payment Incentive</t>
        </is>
      </c>
      <c r="B7" s="6" t="n">
        <v>50000</v>
      </c>
      <c r="C7" s="5" t="inlineStr">
        <is>
          <t>Cash</t>
        </is>
      </c>
      <c r="D7" s="5" t="inlineStr">
        <is>
          <t>Contractual</t>
        </is>
      </c>
      <c r="E7" s="5" t="inlineStr">
        <is>
          <t>No</t>
        </is>
      </c>
      <c r="F7" s="7" t="inlineStr">
        <is>
          <t>Lands within 45 days of Effective Date (= opening day, confirmed) — arrives AFTER opening at the earliest</t>
        </is>
      </c>
    </row>
    <row r="8" ht="30" customHeight="1">
      <c r="A8" s="5" t="inlineStr">
        <is>
          <t>Arrow — Credit #1</t>
        </is>
      </c>
      <c r="B8" s="6" t="n">
        <v>40000</v>
      </c>
      <c r="C8" s="5" t="inlineStr">
        <is>
          <t>Credit</t>
        </is>
      </c>
      <c r="D8" s="5" t="inlineStr">
        <is>
          <t>Contractual</t>
        </is>
      </c>
      <c r="E8" s="5" t="inlineStr">
        <is>
          <t>No</t>
        </is>
      </c>
      <c r="F8" s="7" t="inlineStr">
        <is>
          <t>Non-cash; restricted to Arrow equipment/services spend; expires 12mo from issuance; issued within 45 days of opening</t>
        </is>
      </c>
    </row>
    <row r="9" ht="30" customHeight="1">
      <c r="A9" s="5" t="inlineStr">
        <is>
          <t>Arrow — Credit #2</t>
        </is>
      </c>
      <c r="B9" s="6" t="n">
        <v>10000</v>
      </c>
      <c r="C9" s="5" t="inlineStr">
        <is>
          <t>Credit</t>
        </is>
      </c>
      <c r="D9" s="5" t="inlineStr">
        <is>
          <t>Contractual</t>
        </is>
      </c>
      <c r="E9" s="5" t="inlineStr">
        <is>
          <t>No</t>
        </is>
      </c>
      <c r="F9" s="7" t="inlineStr">
        <is>
          <t>Non-cash; restricted; expires 12mo from issuance; issued at start of Year 2</t>
        </is>
      </c>
    </row>
    <row r="10" ht="30" customHeight="1">
      <c r="A10" s="5" t="inlineStr">
        <is>
          <t>Arrow — Credit #3</t>
        </is>
      </c>
      <c r="B10" s="6" t="n">
        <v>10000</v>
      </c>
      <c r="C10" s="5" t="inlineStr">
        <is>
          <t>Credit</t>
        </is>
      </c>
      <c r="D10" s="5" t="inlineStr">
        <is>
          <t>Contractual</t>
        </is>
      </c>
      <c r="E10" s="5" t="inlineStr">
        <is>
          <t>No</t>
        </is>
      </c>
      <c r="F10" s="7" t="inlineStr">
        <is>
          <t>Non-cash; restricted; expires 12mo from issuance; issued at start of Year 3</t>
        </is>
      </c>
    </row>
    <row r="11" ht="30" customHeight="1">
      <c r="A11" s="5" t="inlineStr">
        <is>
          <t>Arrow — cash redemption kiosk</t>
        </is>
      </c>
      <c r="B11" s="6" t="n">
        <v>0</v>
      </c>
      <c r="C11" s="5" t="inlineStr">
        <is>
          <t>Consignment asset</t>
        </is>
      </c>
      <c r="D11" s="5" t="inlineStr">
        <is>
          <t>Contractual</t>
        </is>
      </c>
      <c r="E11" s="5" t="inlineStr">
        <is>
          <t>N/A</t>
        </is>
      </c>
      <c r="F11" s="7" t="inlineStr">
        <is>
          <t>No cash value; Arrow retains ownership; reduces equipment capex to $0 during the Term</t>
        </is>
      </c>
    </row>
    <row r="13">
      <c r="A13" s="8" t="inlineStr">
        <is>
          <t>Hard cash, usable pre-opening</t>
        </is>
      </c>
      <c r="B13" s="9">
        <f>SUMIFS(B5:B11,D5:D11,"Hard commit",E5:E11,"Yes")</f>
        <v/>
      </c>
    </row>
    <row r="14">
      <c r="A14" s="8" t="inlineStr">
        <is>
          <t>Soft / excluded from secured total</t>
        </is>
      </c>
      <c r="B14" s="9">
        <f>SUMIFS(B5:B11,D5:D11,"Soft commit")</f>
        <v/>
      </c>
    </row>
    <row r="15">
      <c r="A15" s="8" t="inlineStr">
        <is>
          <t>Conditional cash (arrives post-opening)</t>
        </is>
      </c>
      <c r="B15" s="9">
        <f>SUMIFS(B5:B11,C5:C11,"Cash",D5:D11,"Contractual")</f>
        <v/>
      </c>
    </row>
    <row r="16">
      <c r="A16" s="8" t="inlineStr">
        <is>
          <t>Non-cash credits (restricted, not liquidity)</t>
        </is>
      </c>
      <c r="B16" s="9">
        <f>SUMIFS(B5:B11,C5:C11,"Credit")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</cols>
  <sheetData>
    <row r="1" ht="24" customHeight="1">
      <c r="A1" s="1" t="inlineStr">
        <is>
          <t>THE GOLDEN DOOR — STARTUP CAPITAL: SOURCES &amp; USES</t>
        </is>
      </c>
    </row>
    <row r="3">
      <c r="A3" s="10" t="inlineStr">
        <is>
          <t>USES (one-time startup capital, per CGN business plan)</t>
        </is>
      </c>
      <c r="B3" s="26" t="n"/>
      <c r="C3" s="10" t="inlineStr">
        <is>
          <t>SOURCES (usable pre-opening)</t>
        </is>
      </c>
      <c r="D3" s="26" t="n"/>
    </row>
    <row r="4">
      <c r="A4" s="11" t="inlineStr">
        <is>
          <t>Opening cash float</t>
        </is>
      </c>
      <c r="B4" s="12" t="n">
        <v>10000</v>
      </c>
      <c r="C4" s="11" t="inlineStr">
        <is>
          <t>Harry (hard commit)</t>
        </is>
      </c>
      <c r="D4" s="13">
        <f>'Funding Sources'!B5</f>
        <v/>
      </c>
    </row>
    <row r="5">
      <c r="A5" s="11" t="inlineStr">
        <is>
          <t>Lease obligations</t>
        </is>
      </c>
      <c r="B5" s="12" t="n">
        <v>8000</v>
      </c>
      <c r="C5" s="8" t="inlineStr">
        <is>
          <t>Total sources</t>
        </is>
      </c>
      <c r="D5" s="9">
        <f>SUM(D4:D4)</f>
        <v/>
      </c>
    </row>
    <row r="6">
      <c r="A6" s="11" t="inlineStr">
        <is>
          <t>Utility deposits</t>
        </is>
      </c>
      <c r="B6" s="12" t="n">
        <v>2000</v>
      </c>
    </row>
    <row r="7">
      <c r="A7" s="11" t="inlineStr">
        <is>
          <t>Startup contingency / working capital</t>
        </is>
      </c>
      <c r="B7" s="12" t="n">
        <v>5000</v>
      </c>
    </row>
    <row r="8">
      <c r="A8" s="8" t="inlineStr">
        <is>
          <t>Total uses</t>
        </is>
      </c>
      <c r="B8" s="9">
        <f>SUM(B4:B7)</f>
        <v/>
      </c>
    </row>
    <row r="10">
      <c r="A10" s="14" t="inlineStr">
        <is>
          <t>Surplus / (Gap) vs. Harry's hard commit</t>
        </is>
      </c>
      <c r="D10" s="15">
        <f>D5-B8</f>
        <v/>
      </c>
    </row>
    <row r="12" ht="45" customHeight="1">
      <c r="A12" s="16" t="inlineStr">
        <is>
          <t>Note: Harry's $50,000 hard commit alone exceeds the $25,000 startup capital need. Jeremy's $35,000 (soft) and Arrow's $50,000 Payment Incentive (arrives after opening) are upside, not required to open. Source: CGN business plan (opening cash float/lease/deposits/contingency figures) and Lauren's funding-gap analysis, 2026-07-17.</t>
        </is>
      </c>
    </row>
  </sheetData>
  <mergeCells count="5">
    <mergeCell ref="A10:C10"/>
    <mergeCell ref="A1:D1"/>
    <mergeCell ref="A12:D12"/>
    <mergeCell ref="C3:D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THE GOLDEN DOOR — OPERATING RUNWAY CALCULATOR</t>
        </is>
      </c>
    </row>
    <row r="2">
      <c r="A2" s="3" t="inlineStr">
        <is>
          <t>Yellow cells are assumptions to edit — fill in your own revenue ramp % as it firms up. Everything else recalculates.</t>
        </is>
      </c>
    </row>
    <row r="4">
      <c r="A4" s="17" t="inlineStr">
        <is>
          <t>Assumptions</t>
        </is>
      </c>
    </row>
    <row r="5">
      <c r="A5" s="11" t="inlineStr">
        <is>
          <t>Monthly occupancy cost (VMP outflow)</t>
        </is>
      </c>
      <c r="B5" s="18" t="n">
        <v>0</v>
      </c>
    </row>
    <row r="6">
      <c r="A6" s="11" t="inlineStr">
        <is>
          <t>Gross gaming receipts target (steady state, monthly)</t>
        </is>
      </c>
      <c r="B6" s="18" t="n">
        <v>60000</v>
      </c>
    </row>
    <row r="7">
      <c r="A7" s="11" t="inlineStr">
        <is>
          <t>Starting cash — Harry's hard commit</t>
        </is>
      </c>
      <c r="B7" s="13">
        <f>'Funding Sources'!B5</f>
        <v/>
      </c>
    </row>
    <row r="8">
      <c r="A8" s="11" t="inlineStr">
        <is>
          <t>Startup one-time uses (Month 1)</t>
        </is>
      </c>
      <c r="B8" s="13">
        <f>'Sources &amp; Uses'!B8</f>
        <v/>
      </c>
    </row>
    <row r="9">
      <c r="A9" s="11" t="inlineStr">
        <is>
          <t>Include Jeremy's $35K soft commit in this scenario?</t>
        </is>
      </c>
      <c r="B9" s="19" t="inlineStr">
        <is>
          <t>Yes</t>
        </is>
      </c>
    </row>
    <row r="10">
      <c r="A10" s="11" t="inlineStr">
        <is>
          <t>Jeremy amount (if included above)</t>
        </is>
      </c>
      <c r="B10" s="13">
        <f>'Funding Sources'!B6</f>
        <v/>
      </c>
    </row>
    <row r="13">
      <c r="A13" s="20" t="inlineStr">
        <is>
          <t>Month</t>
        </is>
      </c>
      <c r="B13" s="21" t="inlineStr">
        <is>
          <t>M1</t>
        </is>
      </c>
      <c r="C13" s="21" t="inlineStr">
        <is>
          <t>M2</t>
        </is>
      </c>
      <c r="D13" s="21" t="inlineStr">
        <is>
          <t>M3</t>
        </is>
      </c>
      <c r="E13" s="21" t="inlineStr">
        <is>
          <t>M4</t>
        </is>
      </c>
      <c r="F13" s="21" t="inlineStr">
        <is>
          <t>M5</t>
        </is>
      </c>
      <c r="G13" s="21" t="inlineStr">
        <is>
          <t>M6</t>
        </is>
      </c>
      <c r="H13" s="21" t="inlineStr">
        <is>
          <t>M7</t>
        </is>
      </c>
      <c r="I13" s="21" t="inlineStr">
        <is>
          <t>M8</t>
        </is>
      </c>
      <c r="J13" s="21" t="inlineStr">
        <is>
          <t>M9</t>
        </is>
      </c>
      <c r="K13" s="21" t="inlineStr">
        <is>
          <t>M10</t>
        </is>
      </c>
      <c r="L13" s="21" t="inlineStr">
        <is>
          <t>M11</t>
        </is>
      </c>
      <c r="M13" s="21" t="inlineStr">
        <is>
          <t>M12</t>
        </is>
      </c>
    </row>
    <row r="14">
      <c r="A14" s="22" t="inlineStr">
        <is>
          <t>Revenue ramp — % of steady-state target</t>
        </is>
      </c>
      <c r="B14" s="23" t="n">
        <v>0.1</v>
      </c>
      <c r="C14" s="23" t="n">
        <v>0.25</v>
      </c>
      <c r="D14" s="23" t="n">
        <v>0.45</v>
      </c>
      <c r="E14" s="23" t="n">
        <v>0.65</v>
      </c>
      <c r="F14" s="23" t="n">
        <v>0.85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</row>
    <row r="15">
      <c r="A15" s="11" t="inlineStr">
        <is>
          <t>Revenue ($)</t>
        </is>
      </c>
      <c r="B15" s="24">
        <f>B14*$B6</f>
        <v/>
      </c>
      <c r="C15" s="24">
        <f>C14*$B6</f>
        <v/>
      </c>
      <c r="D15" s="24">
        <f>D14*$B6</f>
        <v/>
      </c>
      <c r="E15" s="24">
        <f>E14*$B6</f>
        <v/>
      </c>
      <c r="F15" s="24">
        <f>F14*$B6</f>
        <v/>
      </c>
      <c r="G15" s="24">
        <f>G14*$B6</f>
        <v/>
      </c>
      <c r="H15" s="24">
        <f>H14*$B6</f>
        <v/>
      </c>
      <c r="I15" s="24">
        <f>I14*$B6</f>
        <v/>
      </c>
      <c r="J15" s="24">
        <f>J14*$B6</f>
        <v/>
      </c>
      <c r="K15" s="24">
        <f>K14*$B6</f>
        <v/>
      </c>
      <c r="L15" s="24">
        <f>L14*$B6</f>
        <v/>
      </c>
      <c r="M15" s="24">
        <f>M14*$B6</f>
        <v/>
      </c>
    </row>
    <row r="16">
      <c r="A16" s="11" t="inlineStr">
        <is>
          <t>Occupancy cost ($)</t>
        </is>
      </c>
      <c r="B16" s="24">
        <f>$B5</f>
        <v/>
      </c>
      <c r="C16" s="24">
        <f>$B5</f>
        <v/>
      </c>
      <c r="D16" s="24">
        <f>$B5</f>
        <v/>
      </c>
      <c r="E16" s="24">
        <f>$B5</f>
        <v/>
      </c>
      <c r="F16" s="24">
        <f>$B5</f>
        <v/>
      </c>
      <c r="G16" s="24">
        <f>$B5</f>
        <v/>
      </c>
      <c r="H16" s="24">
        <f>$B5</f>
        <v/>
      </c>
      <c r="I16" s="24">
        <f>$B5</f>
        <v/>
      </c>
      <c r="J16" s="24">
        <f>$B5</f>
        <v/>
      </c>
      <c r="K16" s="24">
        <f>$B5</f>
        <v/>
      </c>
      <c r="L16" s="24">
        <f>$B5</f>
        <v/>
      </c>
      <c r="M16" s="24">
        <f>$B5</f>
        <v/>
      </c>
    </row>
    <row r="17">
      <c r="A17" s="11" t="inlineStr">
        <is>
          <t>One-time startup uses ($)</t>
        </is>
      </c>
      <c r="B17" s="24">
        <f>$B8</f>
        <v/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</row>
    <row r="18">
      <c r="A18" s="11" t="inlineStr">
        <is>
          <t>Net monthly cash flow ($)</t>
        </is>
      </c>
      <c r="B18" s="24">
        <f>B15-B16-B17</f>
        <v/>
      </c>
      <c r="C18" s="24">
        <f>C15-C16-C17</f>
        <v/>
      </c>
      <c r="D18" s="24">
        <f>D15-D16-D17</f>
        <v/>
      </c>
      <c r="E18" s="24">
        <f>E15-E16-E17</f>
        <v/>
      </c>
      <c r="F18" s="24">
        <f>F15-F16-F17</f>
        <v/>
      </c>
      <c r="G18" s="24">
        <f>G15-G16-G17</f>
        <v/>
      </c>
      <c r="H18" s="24">
        <f>H15-H16-H17</f>
        <v/>
      </c>
      <c r="I18" s="24">
        <f>I15-I16-I17</f>
        <v/>
      </c>
      <c r="J18" s="24">
        <f>J15-J16-J17</f>
        <v/>
      </c>
      <c r="K18" s="24">
        <f>K15-K16-K17</f>
        <v/>
      </c>
      <c r="L18" s="24">
        <f>L15-L16-L17</f>
        <v/>
      </c>
      <c r="M18" s="24">
        <f>M15-M16-M17</f>
        <v/>
      </c>
    </row>
    <row r="19">
      <c r="A19" s="8" t="inlineStr">
        <is>
          <t>Ending cash balance ($)</t>
        </is>
      </c>
      <c r="B19" s="25">
        <f>($B7+IF($B9="Yes",$B10,0))+B18</f>
        <v/>
      </c>
      <c r="C19" s="25">
        <f>B19+C18</f>
        <v/>
      </c>
      <c r="D19" s="25">
        <f>C19+D18</f>
        <v/>
      </c>
      <c r="E19" s="25">
        <f>D19+E18</f>
        <v/>
      </c>
      <c r="F19" s="25">
        <f>E19+F18</f>
        <v/>
      </c>
      <c r="G19" s="25">
        <f>F19+G18</f>
        <v/>
      </c>
      <c r="H19" s="25">
        <f>G19+H18</f>
        <v/>
      </c>
      <c r="I19" s="25">
        <f>H19+I18</f>
        <v/>
      </c>
      <c r="J19" s="25">
        <f>I19+J18</f>
        <v/>
      </c>
      <c r="K19" s="25">
        <f>J19+K18</f>
        <v/>
      </c>
      <c r="L19" s="25">
        <f>K19+L18</f>
        <v/>
      </c>
      <c r="M19" s="25">
        <f>L19+M18</f>
        <v/>
      </c>
    </row>
    <row r="21">
      <c r="A21" s="8" t="inlineStr">
        <is>
          <t>Months of positive cash balance (runway, this scenario)</t>
        </is>
      </c>
      <c r="B21" s="8">
        <f>COUNTIF(B19:M19,"&gt;0")</f>
        <v/>
      </c>
    </row>
    <row r="23" ht="30" customHeight="1">
      <c r="A23" s="16" t="inlineStr">
        <is>
          <t>Default ramp (10/25/45/65/85/100% of the $60K/mo target across Months 1-6, then steady) is a placeholder — replace the yellow row with your actual revenue-ramp assumption once known. Toggle B9 to 'Yes' to see the scenario with Jeremy's $35K soft commit included as extra starting cash.</t>
        </is>
      </c>
    </row>
    <row r="25">
      <c r="A25" s="17" t="inlineStr">
        <is>
          <t>CGN operating burden (reference only — NOT a VMP cash outflow)</t>
        </is>
      </c>
    </row>
    <row r="26">
      <c r="A26" s="11" t="inlineStr">
        <is>
          <t>Rent (Year 1)</t>
        </is>
      </c>
      <c r="B26" s="18" t="n">
        <v>3500</v>
      </c>
    </row>
    <row r="27">
      <c r="A27" s="11" t="inlineStr">
        <is>
          <t>Utilities</t>
        </is>
      </c>
      <c r="B27" s="18" t="n">
        <v>1000</v>
      </c>
    </row>
    <row r="28">
      <c r="A28" s="8" t="inlineStr">
        <is>
          <t>Total monthly occupancy — paid from CGN's own operating account</t>
        </is>
      </c>
      <c r="B28" s="9">
        <f>B26+B27</f>
        <v/>
      </c>
    </row>
    <row r="30" ht="45" customHeight="1">
      <c r="A30" s="16" t="inlineStr">
        <is>
          <t>Rent ($3,500/mo, Year 1) and utilities ($1,000/mo) are paid directly out of CGN's own operating account, not fronted by VMP -- confirmed 2026-07-17. VMP's runway model above (B5) reflects this: occupancy is $0 as a VMP outflow. Only the one-time startup capital (Sources &amp; Uses tab) flows through VMP; ongoing occupancy is CGN's own burden, funded by its gaming receipts.</t>
        </is>
      </c>
    </row>
  </sheetData>
  <mergeCells count="6">
    <mergeCell ref="A4:B4"/>
    <mergeCell ref="A25:C25"/>
    <mergeCell ref="A1:M1"/>
    <mergeCell ref="A23:M23"/>
    <mergeCell ref="A30:M30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2026-07-17T22:47:10Z</dcterms:created>
  <dcterms:modified xmlns:dcterms="http://purl.org/dc/terms/" xmlns:xsi="http://www.w3.org/2001/XMLSchema-instance" xsi:type="dcterms:W3CDTF">2026-07-18T23:29:30Z</dcterms:modified>
</cp:coreProperties>
</file>