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agrawal\Desktop\"/>
    </mc:Choice>
  </mc:AlternateContent>
  <xr:revisionPtr revIDLastSave="0" documentId="13_ncr:9_{797E5E62-9A12-4008-833A-B0AEA498995C}" xr6:coauthVersionLast="47" xr6:coauthVersionMax="47" xr10:uidLastSave="{00000000-0000-0000-0000-000000000000}"/>
  <bookViews>
    <workbookView xWindow="-110" yWindow="-110" windowWidth="19420" windowHeight="10300" xr2:uid="{CC93C5BA-25B7-444F-B07C-6B0FD7EBEB60}"/>
  </bookViews>
  <sheets>
    <sheet name="JZCG2CF3SW7S8-BALANCE_RECONCILI" sheetId="1" r:id="rId1"/>
  </sheets>
  <definedNames>
    <definedName name="_xlnm._FilterDatabase" localSheetId="0" hidden="1">'JZCG2CF3SW7S8-BALANCE_RECONCILI'!$A$3:$BN$34</definedName>
  </definedNames>
  <calcPr calcId="0"/>
</workbook>
</file>

<file path=xl/calcChain.xml><?xml version="1.0" encoding="utf-8"?>
<calcChain xmlns="http://schemas.openxmlformats.org/spreadsheetml/2006/main">
  <c r="P16" i="1" l="1"/>
  <c r="R16" i="1" s="1"/>
  <c r="P13" i="1"/>
  <c r="R13" i="1" s="1"/>
  <c r="P12" i="1"/>
  <c r="R12" i="1" s="1"/>
  <c r="R4" i="1"/>
</calcChain>
</file>

<file path=xl/sharedStrings.xml><?xml version="1.0" encoding="utf-8"?>
<sst xmlns="http://schemas.openxmlformats.org/spreadsheetml/2006/main" count="410" uniqueCount="183">
  <si>
    <t>RH</t>
  </si>
  <si>
    <t>Report Name</t>
  </si>
  <si>
    <t>Report Status</t>
  </si>
  <si>
    <t>Report Start Date and Time</t>
  </si>
  <si>
    <t>Report End Date and Time</t>
  </si>
  <si>
    <t>Report Generation Date and Time</t>
  </si>
  <si>
    <t>Hierarchy</t>
  </si>
  <si>
    <t>Timezone</t>
  </si>
  <si>
    <t>BALANCE_RECONCILIATION_REPORT</t>
  </si>
  <si>
    <t>Success</t>
  </si>
  <si>
    <t>JZCG2CF3SW7S8</t>
  </si>
  <si>
    <t>America/Los_Angeles</t>
  </si>
  <si>
    <t>RD</t>
  </si>
  <si>
    <t>Merchant Account ID</t>
  </si>
  <si>
    <t>Record ID</t>
  </si>
  <si>
    <t>Related Record ID</t>
  </si>
  <si>
    <t>Invoice ID</t>
  </si>
  <si>
    <t>Original Invoice ID</t>
  </si>
  <si>
    <t>Partner Identifier</t>
  </si>
  <si>
    <t>Created At</t>
  </si>
  <si>
    <t>Record Type</t>
  </si>
  <si>
    <t>Record Subtype</t>
  </si>
  <si>
    <t>Transaction Currency</t>
  </si>
  <si>
    <t>Gross Transaction Amount</t>
  </si>
  <si>
    <t>Total Gross Fees</t>
  </si>
  <si>
    <t>Total Net Fees</t>
  </si>
  <si>
    <t>Partner Commission</t>
  </si>
  <si>
    <t>Net Transaction Amount</t>
  </si>
  <si>
    <t>Settlement Currency</t>
  </si>
  <si>
    <t>Settlement Amount</t>
  </si>
  <si>
    <t>Pending Settlement Amount</t>
  </si>
  <si>
    <t>Exchange Rate</t>
  </si>
  <si>
    <t>Reference Type</t>
  </si>
  <si>
    <t>Reference ID</t>
  </si>
  <si>
    <t>Transfer ID</t>
  </si>
  <si>
    <t>Transfer Account</t>
  </si>
  <si>
    <t>Customer Name</t>
  </si>
  <si>
    <t>Payment Instrument Type</t>
  </si>
  <si>
    <t>Payment Instrument Subtype</t>
  </si>
  <si>
    <t>Payment Network</t>
  </si>
  <si>
    <t>Payment Channel</t>
  </si>
  <si>
    <t>Payment Token</t>
  </si>
  <si>
    <t>Issuing Country</t>
  </si>
  <si>
    <t>Issuing Bank</t>
  </si>
  <si>
    <t>BIN</t>
  </si>
  <si>
    <t>Acquirer Reference Number</t>
  </si>
  <si>
    <t>Store ID</t>
  </si>
  <si>
    <t>Reader ID</t>
  </si>
  <si>
    <t>Reason Code</t>
  </si>
  <si>
    <t>MEMO</t>
  </si>
  <si>
    <t>Custom Field</t>
  </si>
  <si>
    <t>Fixed Fee</t>
  </si>
  <si>
    <t>Variable Fee Rate</t>
  </si>
  <si>
    <t>Total Processing Fees</t>
  </si>
  <si>
    <t>Fx Fixed Fee</t>
  </si>
  <si>
    <t>Fx Variable Rate</t>
  </si>
  <si>
    <t>Campaign Fee</t>
  </si>
  <si>
    <t>Credit Transaction Fee</t>
  </si>
  <si>
    <t>Cross-Border Fee</t>
  </si>
  <si>
    <t>Chargeback Protection Fee</t>
  </si>
  <si>
    <t>Others</t>
  </si>
  <si>
    <t>Interchange Fixed Fee</t>
  </si>
  <si>
    <t>Interchange Rate</t>
  </si>
  <si>
    <t>Total Interchange Fees</t>
  </si>
  <si>
    <t>Total Scheme Fees</t>
  </si>
  <si>
    <t>Total Passthrough Fees</t>
  </si>
  <si>
    <t>Passthrough Fee Currency</t>
  </si>
  <si>
    <t>Description</t>
  </si>
  <si>
    <t>Count</t>
  </si>
  <si>
    <t>Fee Month</t>
  </si>
  <si>
    <t>Invoicing Currency</t>
  </si>
  <si>
    <t>Invoiced Fees</t>
  </si>
  <si>
    <t>Digital Currency</t>
  </si>
  <si>
    <t>Digital Currency Gross Amount</t>
  </si>
  <si>
    <t>Digital Currency Fee</t>
  </si>
  <si>
    <t>Digital Currency Net Amount</t>
  </si>
  <si>
    <t>Sale</t>
  </si>
  <si>
    <t>USD</t>
  </si>
  <si>
    <t>PayPal</t>
  </si>
  <si>
    <t>PayPal Wallet</t>
  </si>
  <si>
    <t>ONLINE</t>
  </si>
  <si>
    <t>Dispute</t>
  </si>
  <si>
    <t>Chargeback</t>
  </si>
  <si>
    <t>Case ID</t>
  </si>
  <si>
    <t>Refund</t>
  </si>
  <si>
    <t>Referenced</t>
  </si>
  <si>
    <t>RF</t>
  </si>
  <si>
    <t>File Number</t>
  </si>
  <si>
    <t>Total Records</t>
  </si>
  <si>
    <t>Total Files</t>
  </si>
  <si>
    <t>MXN</t>
  </si>
  <si>
    <t>PP-R-HGU-562901419</t>
  </si>
  <si>
    <t>PP-R-HNE-562883264</t>
  </si>
  <si>
    <t>92T69910E33094841</t>
  </si>
  <si>
    <t>06V43099CK409042K</t>
  </si>
  <si>
    <t>2025-02-24 10:01:12 +1100</t>
  </si>
  <si>
    <t>70231027H2016941U</t>
  </si>
  <si>
    <t>3EW858682L227354M</t>
  </si>
  <si>
    <t>2025-02-24 10:01:30 +1100</t>
  </si>
  <si>
    <t>81T82471M37083043</t>
  </si>
  <si>
    <t>43A708027G100860R</t>
  </si>
  <si>
    <t>2025-02-24 10:01:56 +1100</t>
  </si>
  <si>
    <t>4DH230845P4954242</t>
  </si>
  <si>
    <t>2025-02-24 16:04:54 +1100</t>
  </si>
  <si>
    <t>Hold</t>
  </si>
  <si>
    <t>Account Hold</t>
  </si>
  <si>
    <t>514273732Y6452222</t>
  </si>
  <si>
    <t>2025-02-24 16:05:01 +1100</t>
  </si>
  <si>
    <t>9SN25795CA318740U</t>
  </si>
  <si>
    <t>2025-02-24 16:05:03 +1100</t>
  </si>
  <si>
    <t>Payout</t>
  </si>
  <si>
    <t>Sent</t>
  </si>
  <si>
    <t>X302003AndMXN</t>
  </si>
  <si>
    <t>3004202502244003342027116321</t>
  </si>
  <si>
    <t>1D502514BU868881M</t>
  </si>
  <si>
    <t>2025-02-24 16:05:11 +1100</t>
  </si>
  <si>
    <t>3004202502244203075834775442</t>
  </si>
  <si>
    <t>1UR66536LD707244E</t>
  </si>
  <si>
    <t>2025-02-25 16:57:57 +1100</t>
  </si>
  <si>
    <t>12M455258R5352215</t>
  </si>
  <si>
    <t>2025-02-25 16:58:06 +1100</t>
  </si>
  <si>
    <t>3004202502254203090204441769</t>
  </si>
  <si>
    <t>2XY98314LN6198610</t>
  </si>
  <si>
    <t>2025-02-24 10:00:06 +1100</t>
  </si>
  <si>
    <t>84U235051W978994U</t>
  </si>
  <si>
    <t>2025-02-24 10:00:08 +1100</t>
  </si>
  <si>
    <t>0H208175Y99803822</t>
  </si>
  <si>
    <t>2025-02-24 10:00:10 +1100</t>
  </si>
  <si>
    <t>5GK72089E9485622R</t>
  </si>
  <si>
    <t>3V112043B5981394W</t>
  </si>
  <si>
    <t>2025-02-24 21:25:36 +1100</t>
  </si>
  <si>
    <t>32D40584X41758030</t>
  </si>
  <si>
    <t>8C841025RA884094C</t>
  </si>
  <si>
    <t>2025-02-25 06:04:11 +1100</t>
  </si>
  <si>
    <t>5RE735952D249502L</t>
  </si>
  <si>
    <t>2025-02-24 10:00:48 +1100</t>
  </si>
  <si>
    <t>84338547K55864005</t>
  </si>
  <si>
    <t>2025-02-24 10:00:58 +1100</t>
  </si>
  <si>
    <t>0AL67077UM917951E</t>
  </si>
  <si>
    <t>2025-02-24 10:01:00 +1100</t>
  </si>
  <si>
    <t>6PX95592GV418192R</t>
  </si>
  <si>
    <t>2025-02-24 10:01:06 +1100</t>
  </si>
  <si>
    <t>0VE30148AS009632R</t>
  </si>
  <si>
    <t>2025-02-24 10:01:10 +1100</t>
  </si>
  <si>
    <t>09S573850D1761144</t>
  </si>
  <si>
    <t>2025-02-24 10:01:11 +1100</t>
  </si>
  <si>
    <t>8UN57199CN689213J</t>
  </si>
  <si>
    <t>13D97799VB144030K</t>
  </si>
  <si>
    <t>2025-02-24 10:01:15 +1100</t>
  </si>
  <si>
    <t>3CV53233318963339</t>
  </si>
  <si>
    <t>2025-02-24 10:01:18 +1100</t>
  </si>
  <si>
    <t>236239420Y358773A</t>
  </si>
  <si>
    <t>2025-02-24 10:01:20 +1100</t>
  </si>
  <si>
    <t>8NJ17930D8179005S</t>
  </si>
  <si>
    <t>2025-02-24 10:01:27 +1100</t>
  </si>
  <si>
    <t>7CP852444T3247022</t>
  </si>
  <si>
    <t>2025-02-24 10:01:28 +1100</t>
  </si>
  <si>
    <t>19U98266YC948601F</t>
  </si>
  <si>
    <t>2025-02-24 10:01:31 +1100</t>
  </si>
  <si>
    <t>9P497795J32374913</t>
  </si>
  <si>
    <t>5KP17314DR228570D</t>
  </si>
  <si>
    <t>2025-02-24 10:01:38 +1100</t>
  </si>
  <si>
    <t>abcd</t>
  </si>
  <si>
    <t>xxxx</t>
  </si>
  <si>
    <t>ccc</t>
  </si>
  <si>
    <t>dd</t>
  </si>
  <si>
    <t>ee</t>
  </si>
  <si>
    <t>g</t>
  </si>
  <si>
    <t>rrr</t>
  </si>
  <si>
    <t>gg</t>
  </si>
  <si>
    <t>hj</t>
  </si>
  <si>
    <t>kl</t>
  </si>
  <si>
    <t>mk</t>
  </si>
  <si>
    <t>mf</t>
  </si>
  <si>
    <t>gh</t>
  </si>
  <si>
    <t>jkdfw</t>
  </si>
  <si>
    <t>svdwewe</t>
  </si>
  <si>
    <t>zvdsegtw</t>
  </si>
  <si>
    <t>arergerh</t>
  </si>
  <si>
    <t>sgfer</t>
  </si>
  <si>
    <t>arger</t>
  </si>
  <si>
    <t>zsfge</t>
  </si>
  <si>
    <t>sety4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</si>
</sst>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quotePrefix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03133-6B8B-4545-8CC1-4F4C89C2D711}">
  <dimension ref="A1:BL34"/>
  <sheetViews>
    <sheetView tabSelected="1" workbookViewId="0">
      <selection activeCell="B11" sqref="B11"/>
    </sheetView>
  </sheetViews>
  <sheetFormatPr defaultRowHeight="14.5" x14ac:dyDescent="0.35"/>
  <cols>
    <col min="1" max="1" width="3.1796875" bestFit="1" customWidth="1"/>
    <col min="2" max="2" width="31.36328125" bestFit="1" customWidth="1"/>
    <col min="3" max="3" width="20.36328125" bestFit="1" customWidth="1"/>
    <col min="4" max="4" width="22.6328125" bestFit="1" customWidth="1"/>
    <col min="5" max="5" width="21.7265625" bestFit="1" customWidth="1"/>
    <col min="6" max="6" width="27.81640625" bestFit="1" customWidth="1"/>
    <col min="7" max="7" width="14.90625" bestFit="1" customWidth="1"/>
    <col min="8" max="8" width="18.36328125" bestFit="1" customWidth="1"/>
    <col min="9" max="9" width="14.1796875" bestFit="1" customWidth="1"/>
    <col min="10" max="10" width="13.453125" bestFit="1" customWidth="1"/>
    <col min="11" max="11" width="18.26953125" bestFit="1" customWidth="1"/>
    <col min="12" max="12" width="22.36328125" bestFit="1" customWidth="1"/>
    <col min="13" max="13" width="14.26953125" bestFit="1" customWidth="1"/>
    <col min="14" max="14" width="12.36328125" bestFit="1" customWidth="1"/>
    <col min="15" max="15" width="17.453125" bestFit="1" customWidth="1"/>
    <col min="16" max="16" width="20.453125" bestFit="1" customWidth="1"/>
    <col min="17" max="17" width="17.6328125" bestFit="1" customWidth="1"/>
    <col min="18" max="18" width="16.453125" bestFit="1" customWidth="1"/>
    <col min="19" max="19" width="23.453125" bestFit="1" customWidth="1"/>
    <col min="20" max="20" width="12.6328125" bestFit="1" customWidth="1"/>
    <col min="21" max="21" width="13.26953125" bestFit="1" customWidth="1"/>
    <col min="22" max="22" width="19.36328125" bestFit="1" customWidth="1"/>
    <col min="23" max="23" width="11.81640625" bestFit="1" customWidth="1"/>
    <col min="24" max="24" width="14.6328125" bestFit="1" customWidth="1"/>
    <col min="25" max="25" width="60.453125" bestFit="1" customWidth="1"/>
    <col min="26" max="26" width="21.453125" bestFit="1" customWidth="1"/>
    <col min="27" max="27" width="24.1796875" bestFit="1" customWidth="1"/>
    <col min="28" max="29" width="15.08984375" bestFit="1" customWidth="1"/>
    <col min="30" max="30" width="13.1796875" bestFit="1" customWidth="1"/>
    <col min="31" max="31" width="13.26953125" bestFit="1" customWidth="1"/>
    <col min="32" max="32" width="20.36328125" bestFit="1" customWidth="1"/>
    <col min="33" max="33" width="3.6328125" bestFit="1" customWidth="1"/>
    <col min="34" max="34" width="23.36328125" bestFit="1" customWidth="1"/>
    <col min="35" max="35" width="7.1796875" bestFit="1" customWidth="1"/>
    <col min="36" max="36" width="8.6328125" bestFit="1" customWidth="1"/>
    <col min="37" max="37" width="11.453125" bestFit="1" customWidth="1"/>
    <col min="38" max="38" width="6.08984375" bestFit="1" customWidth="1"/>
    <col min="39" max="39" width="11.453125" bestFit="1" customWidth="1"/>
    <col min="40" max="40" width="8.453125" bestFit="1" customWidth="1"/>
    <col min="41" max="41" width="15" bestFit="1" customWidth="1"/>
    <col min="42" max="42" width="18.54296875" bestFit="1" customWidth="1"/>
    <col min="43" max="43" width="10.6328125" bestFit="1" customWidth="1"/>
    <col min="44" max="44" width="13.81640625" bestFit="1" customWidth="1"/>
    <col min="45" max="45" width="12.36328125" bestFit="1" customWidth="1"/>
    <col min="46" max="46" width="19.26953125" bestFit="1" customWidth="1"/>
    <col min="47" max="47" width="15" bestFit="1" customWidth="1"/>
    <col min="48" max="48" width="23" bestFit="1" customWidth="1"/>
    <col min="49" max="49" width="6.36328125" bestFit="1" customWidth="1"/>
    <col min="50" max="50" width="18.6328125" bestFit="1" customWidth="1"/>
    <col min="51" max="51" width="14.6328125" bestFit="1" customWidth="1"/>
    <col min="52" max="52" width="19.26953125" bestFit="1" customWidth="1"/>
    <col min="53" max="53" width="16.08984375" bestFit="1" customWidth="1"/>
    <col min="54" max="54" width="19.7265625" bestFit="1" customWidth="1"/>
    <col min="55" max="55" width="22.26953125" bestFit="1" customWidth="1"/>
    <col min="56" max="56" width="10.1796875" bestFit="1" customWidth="1"/>
    <col min="57" max="57" width="5.7265625" bestFit="1" customWidth="1"/>
    <col min="58" max="58" width="9.26953125" bestFit="1" customWidth="1"/>
    <col min="59" max="59" width="15.7265625" bestFit="1" customWidth="1"/>
    <col min="60" max="60" width="11.81640625" bestFit="1" customWidth="1"/>
    <col min="61" max="61" width="13.81640625" bestFit="1" customWidth="1"/>
    <col min="62" max="62" width="25.81640625" bestFit="1" customWidth="1"/>
    <col min="63" max="63" width="17.26953125" bestFit="1" customWidth="1"/>
    <col min="64" max="64" width="23.90625" bestFit="1" customWidth="1"/>
  </cols>
  <sheetData>
    <row r="1" spans="1:6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64" x14ac:dyDescent="0.35">
      <c r="A2" t="s">
        <v>0</v>
      </c>
      <c r="B2" t="s">
        <v>8</v>
      </c>
      <c r="C2" t="s">
        <v>9</v>
      </c>
      <c r="D2" s="1">
        <v>45711</v>
      </c>
      <c r="E2" s="1">
        <v>45711.999988425923</v>
      </c>
      <c r="F2" s="1">
        <v>45744.017881944441</v>
      </c>
      <c r="G2" t="s">
        <v>10</v>
      </c>
      <c r="H2" t="s">
        <v>11</v>
      </c>
    </row>
    <row r="3" spans="1:64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</row>
    <row r="4" spans="1:64" x14ac:dyDescent="0.35">
      <c r="A4" t="s">
        <v>12</v>
      </c>
      <c r="B4" t="s">
        <v>10</v>
      </c>
      <c r="C4" t="s">
        <v>122</v>
      </c>
      <c r="H4" t="s">
        <v>123</v>
      </c>
      <c r="I4" t="s">
        <v>76</v>
      </c>
      <c r="K4" t="s">
        <v>90</v>
      </c>
      <c r="L4">
        <v>125.09</v>
      </c>
      <c r="N4">
        <v>-5.81</v>
      </c>
      <c r="P4">
        <v>119.28</v>
      </c>
      <c r="Q4" t="s">
        <v>77</v>
      </c>
      <c r="R4">
        <f>P4*T4</f>
        <v>59.64</v>
      </c>
      <c r="T4">
        <v>0.5</v>
      </c>
      <c r="Y4" t="s">
        <v>162</v>
      </c>
      <c r="Z4" t="s">
        <v>78</v>
      </c>
      <c r="AA4" t="s">
        <v>79</v>
      </c>
      <c r="AC4" t="s">
        <v>80</v>
      </c>
      <c r="AN4">
        <v>-4</v>
      </c>
      <c r="AO4">
        <v>1.4500000000000001E-2</v>
      </c>
      <c r="AP4">
        <v>-5.81</v>
      </c>
      <c r="AS4">
        <v>0</v>
      </c>
      <c r="AT4">
        <v>0</v>
      </c>
      <c r="AU4">
        <v>-0.94</v>
      </c>
      <c r="AV4">
        <v>0</v>
      </c>
      <c r="AW4">
        <v>-4.87</v>
      </c>
    </row>
    <row r="5" spans="1:64" x14ac:dyDescent="0.35">
      <c r="A5" t="s">
        <v>12</v>
      </c>
      <c r="B5" t="s">
        <v>10</v>
      </c>
      <c r="C5" t="s">
        <v>124</v>
      </c>
      <c r="H5" t="s">
        <v>125</v>
      </c>
      <c r="I5" t="s">
        <v>76</v>
      </c>
      <c r="K5" t="s">
        <v>90</v>
      </c>
      <c r="L5">
        <v>476.09</v>
      </c>
      <c r="N5">
        <v>-10.9</v>
      </c>
      <c r="P5">
        <v>465.19</v>
      </c>
      <c r="Q5" t="s">
        <v>90</v>
      </c>
      <c r="R5">
        <v>465.19</v>
      </c>
      <c r="T5">
        <v>1</v>
      </c>
      <c r="Y5" t="s">
        <v>163</v>
      </c>
      <c r="Z5" t="s">
        <v>78</v>
      </c>
      <c r="AA5" t="s">
        <v>79</v>
      </c>
      <c r="AC5" t="s">
        <v>80</v>
      </c>
      <c r="AN5">
        <v>-4</v>
      </c>
      <c r="AO5">
        <v>1.4500000000000001E-2</v>
      </c>
      <c r="AP5">
        <v>-10.9</v>
      </c>
      <c r="AS5">
        <v>0</v>
      </c>
      <c r="AT5">
        <v>0</v>
      </c>
      <c r="AU5">
        <v>-3.57</v>
      </c>
      <c r="AV5">
        <v>0</v>
      </c>
      <c r="AW5">
        <v>-7.33</v>
      </c>
    </row>
    <row r="6" spans="1:64" x14ac:dyDescent="0.35">
      <c r="A6" t="s">
        <v>12</v>
      </c>
      <c r="B6" t="s">
        <v>10</v>
      </c>
      <c r="C6" t="s">
        <v>126</v>
      </c>
      <c r="H6" t="s">
        <v>127</v>
      </c>
      <c r="I6" t="s">
        <v>76</v>
      </c>
      <c r="K6" t="s">
        <v>90</v>
      </c>
      <c r="L6">
        <v>442.57</v>
      </c>
      <c r="N6">
        <v>-10.42</v>
      </c>
      <c r="P6">
        <v>432.15</v>
      </c>
      <c r="Q6" t="s">
        <v>90</v>
      </c>
      <c r="R6">
        <v>432.15</v>
      </c>
      <c r="T6">
        <v>1</v>
      </c>
      <c r="Y6" t="s">
        <v>164</v>
      </c>
      <c r="Z6" t="s">
        <v>78</v>
      </c>
      <c r="AA6" t="s">
        <v>79</v>
      </c>
      <c r="AC6" t="s">
        <v>80</v>
      </c>
      <c r="AN6">
        <v>-4</v>
      </c>
      <c r="AO6">
        <v>1.4500000000000001E-2</v>
      </c>
      <c r="AP6">
        <v>-10.42</v>
      </c>
      <c r="AS6">
        <v>0</v>
      </c>
      <c r="AT6">
        <v>0</v>
      </c>
      <c r="AU6">
        <v>-3.32</v>
      </c>
      <c r="AV6">
        <v>0</v>
      </c>
      <c r="AW6">
        <v>-7.1</v>
      </c>
    </row>
    <row r="7" spans="1:64" x14ac:dyDescent="0.35">
      <c r="A7" t="s">
        <v>12</v>
      </c>
      <c r="B7" t="s">
        <v>10</v>
      </c>
      <c r="C7" t="s">
        <v>128</v>
      </c>
      <c r="D7" t="s">
        <v>129</v>
      </c>
      <c r="H7" t="s">
        <v>130</v>
      </c>
      <c r="I7" t="s">
        <v>81</v>
      </c>
      <c r="J7" t="s">
        <v>82</v>
      </c>
      <c r="K7" t="s">
        <v>90</v>
      </c>
      <c r="L7">
        <v>-683.99</v>
      </c>
      <c r="N7">
        <v>-110</v>
      </c>
      <c r="P7">
        <v>-793.99</v>
      </c>
      <c r="Q7" t="s">
        <v>90</v>
      </c>
      <c r="R7">
        <v>-793.99</v>
      </c>
      <c r="T7">
        <v>1</v>
      </c>
      <c r="U7" t="s">
        <v>83</v>
      </c>
      <c r="V7" t="s">
        <v>91</v>
      </c>
      <c r="Z7" t="s">
        <v>78</v>
      </c>
      <c r="AA7" t="s">
        <v>79</v>
      </c>
      <c r="AC7" t="s">
        <v>80</v>
      </c>
      <c r="AN7">
        <v>-110</v>
      </c>
      <c r="AO7">
        <v>1.4500000000000001E-2</v>
      </c>
      <c r="AP7">
        <v>-110</v>
      </c>
      <c r="AS7">
        <v>0</v>
      </c>
      <c r="AT7">
        <v>0</v>
      </c>
      <c r="AU7">
        <v>0</v>
      </c>
      <c r="AV7">
        <v>0</v>
      </c>
      <c r="AW7">
        <v>-110</v>
      </c>
    </row>
    <row r="8" spans="1:64" x14ac:dyDescent="0.35">
      <c r="A8" t="s">
        <v>12</v>
      </c>
      <c r="B8" t="s">
        <v>10</v>
      </c>
      <c r="C8" t="s">
        <v>131</v>
      </c>
      <c r="D8" t="s">
        <v>132</v>
      </c>
      <c r="H8" t="s">
        <v>133</v>
      </c>
      <c r="I8" t="s">
        <v>81</v>
      </c>
      <c r="J8" t="s">
        <v>82</v>
      </c>
      <c r="K8" t="s">
        <v>90</v>
      </c>
      <c r="L8" s="3">
        <v>-1654.33</v>
      </c>
      <c r="N8">
        <v>-110</v>
      </c>
      <c r="P8" s="3">
        <v>-1764.33</v>
      </c>
      <c r="Q8" t="s">
        <v>90</v>
      </c>
      <c r="R8" s="3">
        <v>-1764.33</v>
      </c>
      <c r="T8">
        <v>1</v>
      </c>
      <c r="U8" t="s">
        <v>83</v>
      </c>
      <c r="V8" t="s">
        <v>92</v>
      </c>
      <c r="Z8" t="s">
        <v>78</v>
      </c>
      <c r="AA8" t="s">
        <v>79</v>
      </c>
      <c r="AC8" t="s">
        <v>80</v>
      </c>
      <c r="AN8">
        <v>-110</v>
      </c>
      <c r="AO8">
        <v>1.4500000000000001E-2</v>
      </c>
      <c r="AP8">
        <v>-110</v>
      </c>
      <c r="AS8">
        <v>0</v>
      </c>
      <c r="AT8">
        <v>0</v>
      </c>
      <c r="AU8">
        <v>0</v>
      </c>
      <c r="AV8">
        <v>0</v>
      </c>
      <c r="AW8">
        <v>-110</v>
      </c>
    </row>
    <row r="9" spans="1:64" x14ac:dyDescent="0.35">
      <c r="A9" t="s">
        <v>12</v>
      </c>
      <c r="B9" t="s">
        <v>10</v>
      </c>
      <c r="C9" t="s">
        <v>93</v>
      </c>
      <c r="D9" t="s">
        <v>94</v>
      </c>
      <c r="H9" t="s">
        <v>95</v>
      </c>
      <c r="I9" t="s">
        <v>84</v>
      </c>
      <c r="J9" t="s">
        <v>85</v>
      </c>
      <c r="K9" t="s">
        <v>90</v>
      </c>
      <c r="L9" s="3">
        <v>-1130.45</v>
      </c>
      <c r="N9">
        <v>16.39</v>
      </c>
      <c r="P9" s="3">
        <v>-1114.06</v>
      </c>
      <c r="Q9" t="s">
        <v>90</v>
      </c>
      <c r="R9" s="3">
        <v>-1114.06</v>
      </c>
      <c r="T9">
        <v>1</v>
      </c>
      <c r="Y9" t="s">
        <v>164</v>
      </c>
      <c r="Z9" t="s">
        <v>78</v>
      </c>
      <c r="AA9" t="s">
        <v>79</v>
      </c>
      <c r="AC9" t="s">
        <v>80</v>
      </c>
      <c r="AN9">
        <v>0</v>
      </c>
      <c r="AO9">
        <v>1.4500000000000001E-2</v>
      </c>
      <c r="AP9">
        <v>16.39</v>
      </c>
      <c r="AS9">
        <v>0</v>
      </c>
      <c r="AT9">
        <v>0</v>
      </c>
      <c r="AU9">
        <v>0</v>
      </c>
      <c r="AV9">
        <v>0</v>
      </c>
      <c r="AW9">
        <v>16.39</v>
      </c>
    </row>
    <row r="10" spans="1:64" x14ac:dyDescent="0.35">
      <c r="A10" t="s">
        <v>12</v>
      </c>
      <c r="B10" t="s">
        <v>10</v>
      </c>
      <c r="C10" t="s">
        <v>96</v>
      </c>
      <c r="D10" t="s">
        <v>97</v>
      </c>
      <c r="H10" t="s">
        <v>98</v>
      </c>
      <c r="I10" t="s">
        <v>84</v>
      </c>
      <c r="J10" t="s">
        <v>85</v>
      </c>
      <c r="K10" t="s">
        <v>90</v>
      </c>
      <c r="L10">
        <v>-123.26</v>
      </c>
      <c r="N10">
        <v>1.78</v>
      </c>
      <c r="P10">
        <v>-121.48</v>
      </c>
      <c r="Q10" t="s">
        <v>90</v>
      </c>
      <c r="R10">
        <v>-121.48</v>
      </c>
      <c r="T10">
        <v>1</v>
      </c>
      <c r="Y10" t="s">
        <v>165</v>
      </c>
      <c r="Z10" t="s">
        <v>78</v>
      </c>
      <c r="AA10" t="s">
        <v>79</v>
      </c>
      <c r="AC10" t="s">
        <v>80</v>
      </c>
      <c r="AN10">
        <v>0</v>
      </c>
      <c r="AO10">
        <v>1.4500000000000001E-2</v>
      </c>
      <c r="AP10">
        <v>1.78</v>
      </c>
      <c r="AS10">
        <v>0</v>
      </c>
      <c r="AT10">
        <v>0</v>
      </c>
      <c r="AU10">
        <v>0</v>
      </c>
      <c r="AV10">
        <v>0</v>
      </c>
      <c r="AW10">
        <v>1.78</v>
      </c>
    </row>
    <row r="11" spans="1:64" x14ac:dyDescent="0.35">
      <c r="A11" t="s">
        <v>12</v>
      </c>
      <c r="B11" t="s">
        <v>10</v>
      </c>
      <c r="C11" t="s">
        <v>99</v>
      </c>
      <c r="D11" t="s">
        <v>100</v>
      </c>
      <c r="H11" t="s">
        <v>101</v>
      </c>
      <c r="I11" t="s">
        <v>84</v>
      </c>
      <c r="J11" t="s">
        <v>85</v>
      </c>
      <c r="K11" t="s">
        <v>90</v>
      </c>
      <c r="L11">
        <v>-294.95999999999998</v>
      </c>
      <c r="N11">
        <v>8.2799999999999994</v>
      </c>
      <c r="P11">
        <v>-286.68</v>
      </c>
      <c r="Q11" t="s">
        <v>90</v>
      </c>
      <c r="R11">
        <v>-286.68</v>
      </c>
      <c r="T11">
        <v>1</v>
      </c>
      <c r="Y11" t="s">
        <v>165</v>
      </c>
      <c r="Z11" t="s">
        <v>78</v>
      </c>
      <c r="AA11" t="s">
        <v>79</v>
      </c>
      <c r="AC11" t="s">
        <v>80</v>
      </c>
      <c r="AN11">
        <v>4</v>
      </c>
      <c r="AO11">
        <v>1.4500000000000001E-2</v>
      </c>
      <c r="AP11">
        <v>8.2799999999999994</v>
      </c>
      <c r="AS11">
        <v>0</v>
      </c>
      <c r="AT11">
        <v>0</v>
      </c>
      <c r="AU11">
        <v>0</v>
      </c>
      <c r="AV11">
        <v>0</v>
      </c>
      <c r="AW11">
        <v>8.2799999999999994</v>
      </c>
    </row>
    <row r="12" spans="1:64" x14ac:dyDescent="0.35">
      <c r="A12" t="s">
        <v>12</v>
      </c>
      <c r="B12" t="s">
        <v>10</v>
      </c>
      <c r="C12" t="s">
        <v>102</v>
      </c>
      <c r="H12" t="s">
        <v>103</v>
      </c>
      <c r="I12" t="s">
        <v>104</v>
      </c>
      <c r="J12" t="s">
        <v>105</v>
      </c>
      <c r="K12" t="s">
        <v>90</v>
      </c>
      <c r="L12" s="3">
        <v>-1000.92</v>
      </c>
      <c r="N12">
        <v>0</v>
      </c>
      <c r="P12" s="3">
        <f>L12</f>
        <v>-1000.92</v>
      </c>
      <c r="Q12" t="s">
        <v>90</v>
      </c>
      <c r="R12" s="3">
        <f>P12</f>
        <v>-1000.92</v>
      </c>
      <c r="T12">
        <v>1</v>
      </c>
      <c r="AC12" t="s">
        <v>80</v>
      </c>
    </row>
    <row r="13" spans="1:64" x14ac:dyDescent="0.35">
      <c r="A13" t="s">
        <v>12</v>
      </c>
      <c r="B13" t="s">
        <v>10</v>
      </c>
      <c r="C13" t="s">
        <v>106</v>
      </c>
      <c r="H13" t="s">
        <v>107</v>
      </c>
      <c r="I13" t="s">
        <v>104</v>
      </c>
      <c r="J13" t="s">
        <v>105</v>
      </c>
      <c r="K13" t="s">
        <v>90</v>
      </c>
      <c r="L13" s="3">
        <v>-7118.9</v>
      </c>
      <c r="N13">
        <v>0</v>
      </c>
      <c r="P13" s="3">
        <f>L13</f>
        <v>-7118.9</v>
      </c>
      <c r="Q13" t="s">
        <v>90</v>
      </c>
      <c r="R13" s="3">
        <f>P13</f>
        <v>-7118.9</v>
      </c>
      <c r="T13">
        <v>1</v>
      </c>
      <c r="AC13" t="s">
        <v>80</v>
      </c>
    </row>
    <row r="14" spans="1:64" x14ac:dyDescent="0.35">
      <c r="A14" t="s">
        <v>12</v>
      </c>
      <c r="B14" t="s">
        <v>10</v>
      </c>
      <c r="C14" t="s">
        <v>108</v>
      </c>
      <c r="H14" t="s">
        <v>109</v>
      </c>
      <c r="I14" t="s">
        <v>110</v>
      </c>
      <c r="J14" t="s">
        <v>111</v>
      </c>
      <c r="K14" t="s">
        <v>90</v>
      </c>
      <c r="L14" s="3">
        <v>-9999999</v>
      </c>
      <c r="N14">
        <v>-2.92</v>
      </c>
      <c r="P14" s="3">
        <v>-10000001.92</v>
      </c>
      <c r="Q14" t="s">
        <v>90</v>
      </c>
      <c r="R14">
        <v>0</v>
      </c>
      <c r="T14">
        <v>1</v>
      </c>
      <c r="Y14" t="s">
        <v>166</v>
      </c>
      <c r="AC14" t="s">
        <v>80</v>
      </c>
      <c r="AL14" t="s">
        <v>112</v>
      </c>
      <c r="AM14" s="2" t="s">
        <v>113</v>
      </c>
      <c r="AN14">
        <v>-2.92</v>
      </c>
      <c r="AO14">
        <v>1.4500000000000001E-2</v>
      </c>
      <c r="AP14">
        <v>-2.92</v>
      </c>
      <c r="AS14">
        <v>0</v>
      </c>
      <c r="AT14">
        <v>0</v>
      </c>
      <c r="AU14">
        <v>0</v>
      </c>
      <c r="AV14">
        <v>0</v>
      </c>
      <c r="AW14">
        <v>-2.92</v>
      </c>
    </row>
    <row r="15" spans="1:64" x14ac:dyDescent="0.35">
      <c r="A15" t="s">
        <v>12</v>
      </c>
      <c r="B15" t="s">
        <v>10</v>
      </c>
      <c r="C15" t="s">
        <v>114</v>
      </c>
      <c r="H15" t="s">
        <v>115</v>
      </c>
      <c r="I15" t="s">
        <v>110</v>
      </c>
      <c r="J15" t="s">
        <v>111</v>
      </c>
      <c r="K15" t="s">
        <v>90</v>
      </c>
      <c r="L15" s="3">
        <v>-7118001</v>
      </c>
      <c r="N15">
        <v>-2.92</v>
      </c>
      <c r="P15" s="3">
        <v>-7118003.9199999999</v>
      </c>
      <c r="Q15" t="s">
        <v>90</v>
      </c>
      <c r="R15">
        <v>0</v>
      </c>
      <c r="T15">
        <v>1</v>
      </c>
      <c r="Y15" t="s">
        <v>167</v>
      </c>
      <c r="AC15" t="s">
        <v>80</v>
      </c>
      <c r="AL15" t="s">
        <v>112</v>
      </c>
      <c r="AM15" s="2" t="s">
        <v>116</v>
      </c>
      <c r="AN15">
        <v>-2.92</v>
      </c>
      <c r="AO15">
        <v>1.4500000000000001E-2</v>
      </c>
      <c r="AP15">
        <v>-2.92</v>
      </c>
      <c r="AS15">
        <v>0</v>
      </c>
      <c r="AT15">
        <v>0</v>
      </c>
      <c r="AU15">
        <v>0</v>
      </c>
      <c r="AV15">
        <v>0</v>
      </c>
      <c r="AW15">
        <v>-2.92</v>
      </c>
    </row>
    <row r="16" spans="1:64" x14ac:dyDescent="0.35">
      <c r="A16" t="s">
        <v>12</v>
      </c>
      <c r="B16" t="s">
        <v>10</v>
      </c>
      <c r="C16" t="s">
        <v>117</v>
      </c>
      <c r="H16" t="s">
        <v>118</v>
      </c>
      <c r="I16" t="s">
        <v>104</v>
      </c>
      <c r="J16" t="s">
        <v>105</v>
      </c>
      <c r="K16" t="s">
        <v>90</v>
      </c>
      <c r="L16" s="3">
        <v>-58.35</v>
      </c>
      <c r="N16">
        <v>0</v>
      </c>
      <c r="P16" s="3">
        <f>L16</f>
        <v>-58.35</v>
      </c>
      <c r="Q16" t="s">
        <v>90</v>
      </c>
      <c r="R16" s="3">
        <f>P16</f>
        <v>-58.35</v>
      </c>
      <c r="T16">
        <v>1</v>
      </c>
      <c r="AC16" t="s">
        <v>80</v>
      </c>
    </row>
    <row r="17" spans="1:49" x14ac:dyDescent="0.35">
      <c r="A17" t="s">
        <v>12</v>
      </c>
      <c r="B17" t="s">
        <v>10</v>
      </c>
      <c r="C17" t="s">
        <v>119</v>
      </c>
      <c r="H17" t="s">
        <v>120</v>
      </c>
      <c r="I17" t="s">
        <v>110</v>
      </c>
      <c r="J17" t="s">
        <v>111</v>
      </c>
      <c r="K17" t="s">
        <v>90</v>
      </c>
      <c r="L17" s="3">
        <v>-5835000</v>
      </c>
      <c r="N17">
        <v>-2.92</v>
      </c>
      <c r="P17" s="3">
        <v>-5835002.9199999999</v>
      </c>
      <c r="Q17" t="s">
        <v>90</v>
      </c>
      <c r="R17">
        <v>0</v>
      </c>
      <c r="T17">
        <v>1</v>
      </c>
      <c r="Y17" t="s">
        <v>168</v>
      </c>
      <c r="AC17" t="s">
        <v>80</v>
      </c>
      <c r="AL17" t="s">
        <v>112</v>
      </c>
      <c r="AM17" s="2" t="s">
        <v>121</v>
      </c>
      <c r="AN17">
        <v>-2.92</v>
      </c>
      <c r="AO17">
        <v>1.4500000000000001E-2</v>
      </c>
      <c r="AP17">
        <v>-2.92</v>
      </c>
      <c r="AS17">
        <v>0</v>
      </c>
      <c r="AT17">
        <v>0</v>
      </c>
      <c r="AU17">
        <v>0</v>
      </c>
      <c r="AV17">
        <v>0</v>
      </c>
      <c r="AW17">
        <v>-2.92</v>
      </c>
    </row>
    <row r="18" spans="1:49" x14ac:dyDescent="0.35">
      <c r="A18" t="s">
        <v>12</v>
      </c>
      <c r="B18" t="s">
        <v>10</v>
      </c>
      <c r="C18" t="s">
        <v>134</v>
      </c>
      <c r="H18" t="s">
        <v>135</v>
      </c>
      <c r="I18" t="s">
        <v>76</v>
      </c>
      <c r="K18" t="s">
        <v>90</v>
      </c>
      <c r="L18">
        <v>535.98</v>
      </c>
      <c r="N18">
        <v>-11.77</v>
      </c>
      <c r="P18">
        <v>524.21</v>
      </c>
      <c r="Q18" t="s">
        <v>90</v>
      </c>
      <c r="R18">
        <v>524.21</v>
      </c>
      <c r="T18">
        <v>1</v>
      </c>
      <c r="Y18" t="s">
        <v>169</v>
      </c>
      <c r="Z18" t="s">
        <v>78</v>
      </c>
      <c r="AA18" t="s">
        <v>79</v>
      </c>
      <c r="AC18" t="s">
        <v>80</v>
      </c>
      <c r="AN18">
        <v>-4</v>
      </c>
      <c r="AO18">
        <v>1.4500000000000001E-2</v>
      </c>
      <c r="AP18">
        <v>-11.77</v>
      </c>
      <c r="AS18">
        <v>0</v>
      </c>
      <c r="AT18">
        <v>0</v>
      </c>
      <c r="AU18">
        <v>-4.0199999999999996</v>
      </c>
      <c r="AV18">
        <v>0</v>
      </c>
      <c r="AW18">
        <v>-7.75</v>
      </c>
    </row>
    <row r="19" spans="1:49" x14ac:dyDescent="0.35">
      <c r="A19" t="s">
        <v>12</v>
      </c>
      <c r="B19" t="s">
        <v>10</v>
      </c>
      <c r="C19" t="s">
        <v>136</v>
      </c>
      <c r="H19" t="s">
        <v>137</v>
      </c>
      <c r="I19" t="s">
        <v>76</v>
      </c>
      <c r="K19" t="s">
        <v>90</v>
      </c>
      <c r="L19">
        <v>32.82</v>
      </c>
      <c r="N19">
        <v>-4.4800000000000004</v>
      </c>
      <c r="P19">
        <v>28.34</v>
      </c>
      <c r="Q19" t="s">
        <v>90</v>
      </c>
      <c r="R19">
        <v>28.34</v>
      </c>
      <c r="T19">
        <v>1</v>
      </c>
      <c r="Y19" t="s">
        <v>170</v>
      </c>
      <c r="Z19" t="s">
        <v>78</v>
      </c>
      <c r="AA19" t="s">
        <v>79</v>
      </c>
      <c r="AC19" t="s">
        <v>80</v>
      </c>
      <c r="AN19">
        <v>-4</v>
      </c>
      <c r="AO19">
        <v>1.4500000000000001E-2</v>
      </c>
      <c r="AP19">
        <v>-4.4800000000000004</v>
      </c>
      <c r="AS19">
        <v>0</v>
      </c>
      <c r="AT19">
        <v>0</v>
      </c>
      <c r="AU19">
        <v>-0.25</v>
      </c>
      <c r="AV19">
        <v>0</v>
      </c>
      <c r="AW19">
        <v>-4.2300000000000004</v>
      </c>
    </row>
    <row r="20" spans="1:49" x14ac:dyDescent="0.35">
      <c r="A20" t="s">
        <v>12</v>
      </c>
      <c r="B20" t="s">
        <v>10</v>
      </c>
      <c r="C20" t="s">
        <v>138</v>
      </c>
      <c r="H20" t="s">
        <v>139</v>
      </c>
      <c r="I20" t="s">
        <v>76</v>
      </c>
      <c r="K20" t="s">
        <v>90</v>
      </c>
      <c r="L20">
        <v>165.83</v>
      </c>
      <c r="N20">
        <v>-6.4</v>
      </c>
      <c r="P20">
        <v>159.43</v>
      </c>
      <c r="Q20" t="s">
        <v>90</v>
      </c>
      <c r="R20">
        <v>159.43</v>
      </c>
      <c r="T20">
        <v>1</v>
      </c>
      <c r="Y20" t="s">
        <v>171</v>
      </c>
      <c r="Z20" t="s">
        <v>78</v>
      </c>
      <c r="AA20" t="s">
        <v>79</v>
      </c>
      <c r="AC20" t="s">
        <v>80</v>
      </c>
      <c r="AN20">
        <v>-4</v>
      </c>
      <c r="AO20">
        <v>1.4500000000000001E-2</v>
      </c>
      <c r="AP20">
        <v>-6.4</v>
      </c>
      <c r="AS20">
        <v>0</v>
      </c>
      <c r="AT20">
        <v>0</v>
      </c>
      <c r="AU20">
        <v>-1.24</v>
      </c>
      <c r="AV20">
        <v>0</v>
      </c>
      <c r="AW20">
        <v>-5.16</v>
      </c>
    </row>
    <row r="21" spans="1:49" x14ac:dyDescent="0.35">
      <c r="A21" t="s">
        <v>12</v>
      </c>
      <c r="B21" t="s">
        <v>10</v>
      </c>
      <c r="C21" t="s">
        <v>140</v>
      </c>
      <c r="H21" t="s">
        <v>141</v>
      </c>
      <c r="I21" t="s">
        <v>76</v>
      </c>
      <c r="K21" t="s">
        <v>90</v>
      </c>
      <c r="L21">
        <v>319.20999999999998</v>
      </c>
      <c r="N21">
        <v>-8.6300000000000008</v>
      </c>
      <c r="P21">
        <v>310.58</v>
      </c>
      <c r="Q21" t="s">
        <v>90</v>
      </c>
      <c r="R21">
        <v>310.58</v>
      </c>
      <c r="T21">
        <v>1</v>
      </c>
      <c r="Y21" t="s">
        <v>172</v>
      </c>
      <c r="Z21" t="s">
        <v>78</v>
      </c>
      <c r="AA21" t="s">
        <v>79</v>
      </c>
      <c r="AC21" t="s">
        <v>80</v>
      </c>
      <c r="AN21">
        <v>-4</v>
      </c>
      <c r="AO21">
        <v>1.4500000000000001E-2</v>
      </c>
      <c r="AP21">
        <v>-8.6300000000000008</v>
      </c>
      <c r="AS21">
        <v>0</v>
      </c>
      <c r="AT21">
        <v>0</v>
      </c>
      <c r="AU21">
        <v>-2.39</v>
      </c>
      <c r="AV21">
        <v>0</v>
      </c>
      <c r="AW21">
        <v>-6.24</v>
      </c>
    </row>
    <row r="22" spans="1:49" x14ac:dyDescent="0.35">
      <c r="A22" t="s">
        <v>12</v>
      </c>
      <c r="B22" t="s">
        <v>10</v>
      </c>
      <c r="C22" t="s">
        <v>142</v>
      </c>
      <c r="H22" t="s">
        <v>143</v>
      </c>
      <c r="I22" t="s">
        <v>76</v>
      </c>
      <c r="K22" t="s">
        <v>90</v>
      </c>
      <c r="L22">
        <v>783.39</v>
      </c>
      <c r="N22">
        <v>-15.36</v>
      </c>
      <c r="P22">
        <v>768.03</v>
      </c>
      <c r="Q22" t="s">
        <v>90</v>
      </c>
      <c r="R22">
        <v>768.03</v>
      </c>
      <c r="T22">
        <v>1</v>
      </c>
      <c r="Y22" t="s">
        <v>171</v>
      </c>
      <c r="Z22" t="s">
        <v>78</v>
      </c>
      <c r="AA22" t="s">
        <v>79</v>
      </c>
      <c r="AC22" t="s">
        <v>80</v>
      </c>
      <c r="AN22">
        <v>-4</v>
      </c>
      <c r="AO22">
        <v>1.4500000000000001E-2</v>
      </c>
      <c r="AP22">
        <v>-15.36</v>
      </c>
      <c r="AS22">
        <v>0</v>
      </c>
      <c r="AT22">
        <v>0</v>
      </c>
      <c r="AU22">
        <v>-5.88</v>
      </c>
      <c r="AV22">
        <v>0</v>
      </c>
      <c r="AW22">
        <v>-9.48</v>
      </c>
    </row>
    <row r="23" spans="1:49" x14ac:dyDescent="0.35">
      <c r="A23" t="s">
        <v>12</v>
      </c>
      <c r="B23" t="s">
        <v>10</v>
      </c>
      <c r="C23" t="s">
        <v>144</v>
      </c>
      <c r="H23" t="s">
        <v>145</v>
      </c>
      <c r="I23" t="s">
        <v>76</v>
      </c>
      <c r="K23" t="s">
        <v>90</v>
      </c>
      <c r="L23">
        <v>54.16</v>
      </c>
      <c r="N23">
        <v>-4.79</v>
      </c>
      <c r="P23">
        <v>49.37</v>
      </c>
      <c r="Q23" t="s">
        <v>90</v>
      </c>
      <c r="R23">
        <v>49.37</v>
      </c>
      <c r="T23">
        <v>1</v>
      </c>
      <c r="Y23" t="s">
        <v>173</v>
      </c>
      <c r="Z23" t="s">
        <v>78</v>
      </c>
      <c r="AA23" t="s">
        <v>79</v>
      </c>
      <c r="AC23" t="s">
        <v>80</v>
      </c>
      <c r="AN23">
        <v>-4</v>
      </c>
      <c r="AO23">
        <v>1.4500000000000001E-2</v>
      </c>
      <c r="AP23">
        <v>-4.79</v>
      </c>
      <c r="AS23">
        <v>0</v>
      </c>
      <c r="AT23">
        <v>0</v>
      </c>
      <c r="AU23">
        <v>-0.41</v>
      </c>
      <c r="AV23">
        <v>0</v>
      </c>
      <c r="AW23">
        <v>-4.38</v>
      </c>
    </row>
    <row r="24" spans="1:49" x14ac:dyDescent="0.35">
      <c r="A24" t="s">
        <v>12</v>
      </c>
      <c r="B24" t="s">
        <v>10</v>
      </c>
      <c r="C24" t="s">
        <v>146</v>
      </c>
      <c r="H24" t="s">
        <v>95</v>
      </c>
      <c r="I24" t="s">
        <v>76</v>
      </c>
      <c r="K24" t="s">
        <v>90</v>
      </c>
      <c r="L24">
        <v>223.52</v>
      </c>
      <c r="N24">
        <v>-7.24</v>
      </c>
      <c r="P24">
        <v>216.28</v>
      </c>
      <c r="Q24" t="s">
        <v>90</v>
      </c>
      <c r="R24">
        <v>216.28</v>
      </c>
      <c r="T24">
        <v>1</v>
      </c>
      <c r="Y24" t="s">
        <v>174</v>
      </c>
      <c r="Z24" t="s">
        <v>78</v>
      </c>
      <c r="AA24" t="s">
        <v>79</v>
      </c>
      <c r="AC24" t="s">
        <v>80</v>
      </c>
      <c r="AN24">
        <v>-4</v>
      </c>
      <c r="AO24">
        <v>1.4500000000000001E-2</v>
      </c>
      <c r="AP24">
        <v>-7.24</v>
      </c>
      <c r="AS24">
        <v>0</v>
      </c>
      <c r="AT24">
        <v>0</v>
      </c>
      <c r="AU24">
        <v>-1.68</v>
      </c>
      <c r="AV24">
        <v>0</v>
      </c>
      <c r="AW24">
        <v>-5.56</v>
      </c>
    </row>
    <row r="25" spans="1:49" x14ac:dyDescent="0.35">
      <c r="A25" t="s">
        <v>12</v>
      </c>
      <c r="B25" t="s">
        <v>10</v>
      </c>
      <c r="C25" t="s">
        <v>147</v>
      </c>
      <c r="H25" t="s">
        <v>148</v>
      </c>
      <c r="I25" t="s">
        <v>76</v>
      </c>
      <c r="K25" t="s">
        <v>90</v>
      </c>
      <c r="L25">
        <v>289.72000000000003</v>
      </c>
      <c r="N25">
        <v>-8.1999999999999993</v>
      </c>
      <c r="P25">
        <v>281.52</v>
      </c>
      <c r="Q25" t="s">
        <v>90</v>
      </c>
      <c r="R25">
        <v>281.52</v>
      </c>
      <c r="T25">
        <v>1</v>
      </c>
      <c r="Y25" t="s">
        <v>175</v>
      </c>
      <c r="Z25" t="s">
        <v>78</v>
      </c>
      <c r="AA25" t="s">
        <v>79</v>
      </c>
      <c r="AC25" t="s">
        <v>80</v>
      </c>
      <c r="AN25">
        <v>-4</v>
      </c>
      <c r="AO25">
        <v>1.4500000000000001E-2</v>
      </c>
      <c r="AP25">
        <v>-8.1999999999999993</v>
      </c>
      <c r="AS25">
        <v>0</v>
      </c>
      <c r="AT25">
        <v>0</v>
      </c>
      <c r="AU25">
        <v>-2.17</v>
      </c>
      <c r="AV25">
        <v>0</v>
      </c>
      <c r="AW25">
        <v>-6.03</v>
      </c>
    </row>
    <row r="26" spans="1:49" x14ac:dyDescent="0.35">
      <c r="A26" t="s">
        <v>12</v>
      </c>
      <c r="B26" t="s">
        <v>10</v>
      </c>
      <c r="C26" t="s">
        <v>149</v>
      </c>
      <c r="H26" t="s">
        <v>150</v>
      </c>
      <c r="I26" t="s">
        <v>76</v>
      </c>
      <c r="K26" t="s">
        <v>90</v>
      </c>
      <c r="L26">
        <v>100.29</v>
      </c>
      <c r="N26">
        <v>-5.45</v>
      </c>
      <c r="P26">
        <v>94.84</v>
      </c>
      <c r="Q26" t="s">
        <v>90</v>
      </c>
      <c r="R26">
        <v>94.84</v>
      </c>
      <c r="T26">
        <v>1</v>
      </c>
      <c r="Y26" t="s">
        <v>176</v>
      </c>
      <c r="Z26" t="s">
        <v>78</v>
      </c>
      <c r="AA26" t="s">
        <v>79</v>
      </c>
      <c r="AC26" t="s">
        <v>80</v>
      </c>
      <c r="AN26">
        <v>-4</v>
      </c>
      <c r="AO26">
        <v>1.4500000000000001E-2</v>
      </c>
      <c r="AP26">
        <v>-5.45</v>
      </c>
      <c r="AS26">
        <v>0</v>
      </c>
      <c r="AT26">
        <v>0</v>
      </c>
      <c r="AU26">
        <v>-0.75</v>
      </c>
      <c r="AV26">
        <v>0</v>
      </c>
      <c r="AW26">
        <v>-4.7</v>
      </c>
    </row>
    <row r="27" spans="1:49" x14ac:dyDescent="0.35">
      <c r="A27" t="s">
        <v>12</v>
      </c>
      <c r="B27" t="s">
        <v>10</v>
      </c>
      <c r="C27" t="s">
        <v>151</v>
      </c>
      <c r="H27" t="s">
        <v>152</v>
      </c>
      <c r="I27" t="s">
        <v>76</v>
      </c>
      <c r="K27" t="s">
        <v>90</v>
      </c>
      <c r="L27">
        <v>724.39</v>
      </c>
      <c r="N27">
        <v>-14.5</v>
      </c>
      <c r="P27">
        <v>709.89</v>
      </c>
      <c r="Q27" t="s">
        <v>90</v>
      </c>
      <c r="R27">
        <v>709.89</v>
      </c>
      <c r="T27">
        <v>1</v>
      </c>
      <c r="Y27" t="s">
        <v>177</v>
      </c>
      <c r="Z27" t="s">
        <v>78</v>
      </c>
      <c r="AA27" t="s">
        <v>79</v>
      </c>
      <c r="AC27" t="s">
        <v>80</v>
      </c>
      <c r="AN27">
        <v>-4</v>
      </c>
      <c r="AO27">
        <v>1.4500000000000001E-2</v>
      </c>
      <c r="AP27">
        <v>-14.5</v>
      </c>
      <c r="AS27">
        <v>0</v>
      </c>
      <c r="AT27">
        <v>0</v>
      </c>
      <c r="AU27">
        <v>-5.43</v>
      </c>
      <c r="AV27">
        <v>0</v>
      </c>
      <c r="AW27">
        <v>-9.07</v>
      </c>
    </row>
    <row r="28" spans="1:49" x14ac:dyDescent="0.35">
      <c r="A28" t="s">
        <v>12</v>
      </c>
      <c r="B28" t="s">
        <v>10</v>
      </c>
      <c r="C28" t="s">
        <v>153</v>
      </c>
      <c r="H28" t="s">
        <v>154</v>
      </c>
      <c r="I28" t="s">
        <v>76</v>
      </c>
      <c r="K28" t="s">
        <v>90</v>
      </c>
      <c r="L28">
        <v>255.57</v>
      </c>
      <c r="N28">
        <v>-7.71</v>
      </c>
      <c r="P28">
        <v>247.86</v>
      </c>
      <c r="Q28" t="s">
        <v>90</v>
      </c>
      <c r="R28">
        <v>247.86</v>
      </c>
      <c r="T28">
        <v>1</v>
      </c>
      <c r="Y28" t="s">
        <v>178</v>
      </c>
      <c r="Z28" t="s">
        <v>78</v>
      </c>
      <c r="AA28" t="s">
        <v>79</v>
      </c>
      <c r="AC28" t="s">
        <v>80</v>
      </c>
      <c r="AN28">
        <v>-4</v>
      </c>
      <c r="AO28">
        <v>1.4500000000000001E-2</v>
      </c>
      <c r="AP28">
        <v>-7.71</v>
      </c>
      <c r="AS28">
        <v>0</v>
      </c>
      <c r="AT28">
        <v>0</v>
      </c>
      <c r="AU28">
        <v>-1.92</v>
      </c>
      <c r="AV28">
        <v>0</v>
      </c>
      <c r="AW28">
        <v>-5.79</v>
      </c>
    </row>
    <row r="29" spans="1:49" x14ac:dyDescent="0.35">
      <c r="A29" t="s">
        <v>12</v>
      </c>
      <c r="B29" t="s">
        <v>10</v>
      </c>
      <c r="C29" t="s">
        <v>155</v>
      </c>
      <c r="H29" t="s">
        <v>156</v>
      </c>
      <c r="I29" t="s">
        <v>76</v>
      </c>
      <c r="K29" t="s">
        <v>90</v>
      </c>
      <c r="L29">
        <v>689.29</v>
      </c>
      <c r="N29">
        <v>-13.99</v>
      </c>
      <c r="P29">
        <v>675.3</v>
      </c>
      <c r="Q29" t="s">
        <v>90</v>
      </c>
      <c r="R29">
        <v>675.3</v>
      </c>
      <c r="T29">
        <v>1</v>
      </c>
      <c r="Y29" t="s">
        <v>179</v>
      </c>
      <c r="Z29" t="s">
        <v>78</v>
      </c>
      <c r="AA29" t="s">
        <v>79</v>
      </c>
      <c r="AC29" t="s">
        <v>80</v>
      </c>
      <c r="AN29">
        <v>-4</v>
      </c>
      <c r="AO29">
        <v>1.4500000000000001E-2</v>
      </c>
      <c r="AP29">
        <v>-13.99</v>
      </c>
      <c r="AS29">
        <v>0</v>
      </c>
      <c r="AT29">
        <v>0</v>
      </c>
      <c r="AU29">
        <v>-5.17</v>
      </c>
      <c r="AV29">
        <v>0</v>
      </c>
      <c r="AW29">
        <v>-8.82</v>
      </c>
    </row>
    <row r="30" spans="1:49" x14ac:dyDescent="0.35">
      <c r="A30" t="s">
        <v>12</v>
      </c>
      <c r="B30" t="s">
        <v>10</v>
      </c>
      <c r="C30" t="s">
        <v>157</v>
      </c>
      <c r="H30" t="s">
        <v>158</v>
      </c>
      <c r="I30" t="s">
        <v>76</v>
      </c>
      <c r="K30" t="s">
        <v>90</v>
      </c>
      <c r="L30">
        <v>568.94000000000005</v>
      </c>
      <c r="N30">
        <v>-12.25</v>
      </c>
      <c r="P30">
        <v>556.69000000000005</v>
      </c>
      <c r="Q30" t="s">
        <v>90</v>
      </c>
      <c r="R30">
        <v>556.69000000000005</v>
      </c>
      <c r="T30">
        <v>1</v>
      </c>
      <c r="Y30" t="s">
        <v>180</v>
      </c>
      <c r="Z30" t="s">
        <v>78</v>
      </c>
      <c r="AA30" t="s">
        <v>79</v>
      </c>
      <c r="AC30" t="s">
        <v>80</v>
      </c>
      <c r="AN30">
        <v>-4</v>
      </c>
      <c r="AO30">
        <v>1.4500000000000001E-2</v>
      </c>
      <c r="AP30">
        <v>-12.25</v>
      </c>
      <c r="AS30">
        <v>0</v>
      </c>
      <c r="AT30">
        <v>0</v>
      </c>
      <c r="AU30">
        <v>-4.2699999999999996</v>
      </c>
      <c r="AV30">
        <v>0</v>
      </c>
      <c r="AW30">
        <v>-7.98</v>
      </c>
    </row>
    <row r="31" spans="1:49" x14ac:dyDescent="0.35">
      <c r="A31" t="s">
        <v>12</v>
      </c>
      <c r="B31" t="s">
        <v>10</v>
      </c>
      <c r="C31" t="s">
        <v>159</v>
      </c>
      <c r="H31" t="s">
        <v>158</v>
      </c>
      <c r="I31" t="s">
        <v>76</v>
      </c>
      <c r="K31" t="s">
        <v>90</v>
      </c>
      <c r="L31">
        <v>310.61</v>
      </c>
      <c r="N31">
        <v>-8.5</v>
      </c>
      <c r="P31">
        <v>302.11</v>
      </c>
      <c r="Q31" t="s">
        <v>90</v>
      </c>
      <c r="R31">
        <v>302.11</v>
      </c>
      <c r="T31">
        <v>1</v>
      </c>
      <c r="Y31" t="s">
        <v>181</v>
      </c>
      <c r="Z31" t="s">
        <v>78</v>
      </c>
      <c r="AA31" t="s">
        <v>79</v>
      </c>
      <c r="AC31" t="s">
        <v>80</v>
      </c>
      <c r="AN31">
        <v>-4</v>
      </c>
      <c r="AO31">
        <v>1.4500000000000001E-2</v>
      </c>
      <c r="AP31">
        <v>-8.5</v>
      </c>
      <c r="AS31">
        <v>0</v>
      </c>
      <c r="AT31">
        <v>0</v>
      </c>
      <c r="AU31">
        <v>-2.33</v>
      </c>
      <c r="AV31">
        <v>0</v>
      </c>
      <c r="AW31">
        <v>-6.17</v>
      </c>
    </row>
    <row r="32" spans="1:49" x14ac:dyDescent="0.35">
      <c r="A32" t="s">
        <v>12</v>
      </c>
      <c r="B32" t="s">
        <v>10</v>
      </c>
      <c r="C32" t="s">
        <v>160</v>
      </c>
      <c r="H32" t="s">
        <v>161</v>
      </c>
      <c r="I32" t="s">
        <v>76</v>
      </c>
      <c r="K32" t="s">
        <v>90</v>
      </c>
      <c r="L32">
        <v>164.65</v>
      </c>
      <c r="N32">
        <v>-6.39</v>
      </c>
      <c r="P32">
        <v>158.26</v>
      </c>
      <c r="Q32" t="s">
        <v>90</v>
      </c>
      <c r="R32">
        <v>158.26</v>
      </c>
      <c r="T32">
        <v>1</v>
      </c>
      <c r="Y32" t="s">
        <v>182</v>
      </c>
      <c r="Z32" t="s">
        <v>78</v>
      </c>
      <c r="AA32" t="s">
        <v>79</v>
      </c>
      <c r="AC32" t="s">
        <v>80</v>
      </c>
      <c r="AN32">
        <v>-4</v>
      </c>
      <c r="AO32">
        <v>1.4500000000000001E-2</v>
      </c>
      <c r="AP32">
        <v>-6.39</v>
      </c>
      <c r="AS32">
        <v>0</v>
      </c>
      <c r="AT32">
        <v>0</v>
      </c>
      <c r="AU32">
        <v>-1.23</v>
      </c>
      <c r="AV32">
        <v>0</v>
      </c>
      <c r="AW32">
        <v>-5.16</v>
      </c>
    </row>
    <row r="33" spans="1:4" x14ac:dyDescent="0.35">
      <c r="A33" t="s">
        <v>86</v>
      </c>
      <c r="B33" t="s">
        <v>87</v>
      </c>
      <c r="C33" t="s">
        <v>88</v>
      </c>
      <c r="D33" t="s">
        <v>89</v>
      </c>
    </row>
    <row r="34" spans="1:4" x14ac:dyDescent="0.35">
      <c r="A34" t="s">
        <v>86</v>
      </c>
      <c r="B34">
        <v>1</v>
      </c>
      <c r="C34">
        <v>29</v>
      </c>
      <c r="D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JZCG2CF3SW7S8-BALANCE_RECONCILI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Agrawal</dc:creator>
  <cp:lastModifiedBy>Sheetal Agrawal</cp:lastModifiedBy>
  <dcterms:created xsi:type="dcterms:W3CDTF">2025-04-03T15:11:13Z</dcterms:created>
  <dcterms:modified xsi:type="dcterms:W3CDTF">2025-04-03T15:12:55Z</dcterms:modified>
</cp:coreProperties>
</file>